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idde\Downloads\"/>
    </mc:Choice>
  </mc:AlternateContent>
  <xr:revisionPtr revIDLastSave="0" documentId="13_ncr:1_{FFA60F3F-5EDD-4436-956A-574B933CD676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ashboard" sheetId="1" r:id="rId1"/>
    <sheet name="Master sheet" sheetId="9" r:id="rId2"/>
    <sheet name="Assumptions" sheetId="7" r:id="rId3"/>
    <sheet name="Income Statement" sheetId="3" r:id="rId4"/>
    <sheet name="Balance Sheet" sheetId="4" r:id="rId5"/>
    <sheet name="Cash Flow" sheetId="5" r:id="rId6"/>
    <sheet name="DCF Valuation" sheetId="6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1" i="9" l="1"/>
  <c r="B215" i="9"/>
  <c r="B214" i="9"/>
  <c r="B213" i="9"/>
  <c r="B209" i="9"/>
  <c r="B207" i="9"/>
  <c r="B205" i="9"/>
  <c r="B206" i="9" s="1"/>
  <c r="B208" i="9" s="1"/>
  <c r="B210" i="9" s="1"/>
  <c r="B204" i="9"/>
  <c r="E101" i="9"/>
  <c r="F101" i="9"/>
  <c r="G101" i="9"/>
  <c r="H101" i="9"/>
  <c r="I101" i="9"/>
  <c r="E100" i="9"/>
  <c r="F100" i="9"/>
  <c r="G100" i="9"/>
  <c r="H100" i="9"/>
  <c r="I100" i="9"/>
  <c r="B198" i="9"/>
  <c r="B196" i="9"/>
  <c r="B194" i="9"/>
  <c r="B195" i="9" s="1"/>
  <c r="B197" i="9" s="1"/>
  <c r="B199" i="9" s="1"/>
  <c r="B193" i="9"/>
  <c r="B192" i="9"/>
  <c r="C188" i="9"/>
  <c r="D188" i="9"/>
  <c r="E188" i="9"/>
  <c r="F188" i="9"/>
  <c r="B188" i="9"/>
  <c r="C181" i="9"/>
  <c r="D181" i="9"/>
  <c r="E181" i="9"/>
  <c r="F181" i="9"/>
  <c r="C182" i="9"/>
  <c r="D182" i="9"/>
  <c r="E182" i="9"/>
  <c r="F182" i="9"/>
  <c r="C183" i="9"/>
  <c r="D183" i="9"/>
  <c r="E183" i="9"/>
  <c r="F183" i="9"/>
  <c r="C184" i="9"/>
  <c r="D184" i="9"/>
  <c r="E184" i="9"/>
  <c r="E186" i="9" s="1"/>
  <c r="F184" i="9"/>
  <c r="C185" i="9"/>
  <c r="D185" i="9"/>
  <c r="E185" i="9"/>
  <c r="F185" i="9"/>
  <c r="C186" i="9"/>
  <c r="D186" i="9"/>
  <c r="F186" i="9"/>
  <c r="B189" i="9"/>
  <c r="B186" i="9"/>
  <c r="B185" i="9"/>
  <c r="B184" i="9"/>
  <c r="B183" i="9"/>
  <c r="B182" i="9"/>
  <c r="B181" i="9"/>
  <c r="B178" i="9"/>
  <c r="B177" i="9"/>
  <c r="F130" i="9"/>
  <c r="G130" i="9"/>
  <c r="H130" i="9"/>
  <c r="I130" i="9"/>
  <c r="E130" i="9"/>
  <c r="E125" i="9"/>
  <c r="F129" i="9"/>
  <c r="G129" i="9"/>
  <c r="H129" i="9"/>
  <c r="I129" i="9"/>
  <c r="E129" i="9"/>
  <c r="B219" i="9" l="1"/>
  <c r="C219" i="9"/>
  <c r="F189" i="9"/>
  <c r="E224" i="9"/>
  <c r="D224" i="9"/>
  <c r="F225" i="9"/>
  <c r="E222" i="9"/>
  <c r="B224" i="9"/>
  <c r="B226" i="9"/>
  <c r="F222" i="9"/>
  <c r="E189" i="9"/>
  <c r="C224" i="9"/>
  <c r="E225" i="9"/>
  <c r="D222" i="9"/>
  <c r="D225" i="9"/>
  <c r="D189" i="9"/>
  <c r="B223" i="9"/>
  <c r="C223" i="9"/>
  <c r="E226" i="9"/>
  <c r="D223" i="9"/>
  <c r="F226" i="9"/>
  <c r="E223" i="9"/>
  <c r="C225" i="9"/>
  <c r="C226" i="9"/>
  <c r="C189" i="9"/>
  <c r="F224" i="9"/>
  <c r="B225" i="9"/>
  <c r="D226" i="9"/>
  <c r="B222" i="9"/>
  <c r="C222" i="9"/>
  <c r="F223" i="9"/>
  <c r="F160" i="9" l="1"/>
  <c r="G160" i="9"/>
  <c r="H160" i="9"/>
  <c r="I160" i="9"/>
  <c r="E160" i="9"/>
  <c r="F150" i="9"/>
  <c r="G150" i="9"/>
  <c r="H150" i="9"/>
  <c r="I150" i="9"/>
  <c r="E150" i="9"/>
  <c r="F149" i="9"/>
  <c r="G149" i="9"/>
  <c r="H149" i="9"/>
  <c r="I149" i="9"/>
  <c r="E149" i="9"/>
  <c r="F148" i="9"/>
  <c r="G148" i="9"/>
  <c r="H148" i="9"/>
  <c r="I148" i="9"/>
  <c r="E148" i="9"/>
  <c r="F112" i="9"/>
  <c r="G112" i="9"/>
  <c r="H112" i="9"/>
  <c r="I112" i="9"/>
  <c r="E112" i="9"/>
  <c r="D36" i="9"/>
  <c r="C36" i="9"/>
  <c r="F117" i="9"/>
  <c r="G117" i="9"/>
  <c r="H117" i="9"/>
  <c r="I117" i="9"/>
  <c r="E117" i="9"/>
  <c r="C35" i="9"/>
  <c r="D35" i="9"/>
  <c r="B35" i="9"/>
  <c r="F109" i="9"/>
  <c r="G109" i="9"/>
  <c r="H109" i="9"/>
  <c r="I109" i="9"/>
  <c r="E109" i="9"/>
  <c r="C34" i="9"/>
  <c r="D34" i="9"/>
  <c r="B34" i="9"/>
  <c r="E84" i="9"/>
  <c r="F84" i="9"/>
  <c r="G84" i="9"/>
  <c r="H84" i="9"/>
  <c r="I84" i="9"/>
  <c r="B33" i="9"/>
  <c r="F124" i="9"/>
  <c r="G124" i="9"/>
  <c r="H124" i="9"/>
  <c r="I124" i="9"/>
  <c r="E124" i="9"/>
  <c r="C33" i="9"/>
  <c r="D33" i="9"/>
  <c r="F147" i="9" l="1"/>
  <c r="G147" i="9"/>
  <c r="H147" i="9"/>
  <c r="I147" i="9"/>
  <c r="E147" i="9"/>
  <c r="C21" i="9"/>
  <c r="D21" i="9"/>
  <c r="B21" i="9"/>
  <c r="F155" i="9"/>
  <c r="G155" i="9"/>
  <c r="H155" i="9"/>
  <c r="I155" i="9"/>
  <c r="E155" i="9"/>
  <c r="F94" i="9"/>
  <c r="G94" i="9"/>
  <c r="H94" i="9"/>
  <c r="I94" i="9"/>
  <c r="E94" i="9"/>
  <c r="E116" i="9"/>
  <c r="F116" i="9" s="1"/>
  <c r="G116" i="9" l="1"/>
  <c r="F82" i="9"/>
  <c r="F145" i="9" s="1"/>
  <c r="F90" i="9"/>
  <c r="G90" i="9"/>
  <c r="F89" i="9"/>
  <c r="G89" i="9"/>
  <c r="H89" i="9"/>
  <c r="I89" i="9"/>
  <c r="E89" i="9"/>
  <c r="F88" i="9"/>
  <c r="G88" i="9"/>
  <c r="H88" i="9"/>
  <c r="I88" i="9"/>
  <c r="E88" i="9"/>
  <c r="F87" i="9"/>
  <c r="G87" i="9"/>
  <c r="H87" i="9"/>
  <c r="I87" i="9"/>
  <c r="E87" i="9"/>
  <c r="E82" i="9"/>
  <c r="E145" i="9" s="1"/>
  <c r="E90" i="9" l="1"/>
  <c r="H90" i="9"/>
  <c r="I90" i="9"/>
  <c r="H116" i="9"/>
  <c r="G82" i="9"/>
  <c r="G145" i="9" s="1"/>
  <c r="F76" i="9"/>
  <c r="G76" i="9"/>
  <c r="H76" i="9"/>
  <c r="I76" i="9"/>
  <c r="E76" i="9"/>
  <c r="E61" i="9"/>
  <c r="F61" i="9" s="1"/>
  <c r="G61" i="9" s="1"/>
  <c r="H61" i="9" s="1"/>
  <c r="I61" i="9" s="1"/>
  <c r="E62" i="9"/>
  <c r="F62" i="9" s="1"/>
  <c r="G62" i="9" s="1"/>
  <c r="H62" i="9" s="1"/>
  <c r="I62" i="9" s="1"/>
  <c r="E63" i="9"/>
  <c r="F63" i="9" s="1"/>
  <c r="G63" i="9" s="1"/>
  <c r="H63" i="9" s="1"/>
  <c r="I63" i="9" s="1"/>
  <c r="E60" i="9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B17" i="1"/>
  <c r="B16" i="1"/>
  <c r="B15" i="1"/>
  <c r="B14" i="1"/>
  <c r="B13" i="1"/>
  <c r="B12" i="1"/>
  <c r="B11" i="1"/>
  <c r="B10" i="1"/>
  <c r="B9" i="1"/>
  <c r="B8" i="1"/>
  <c r="B7" i="1"/>
  <c r="I116" i="9" l="1"/>
  <c r="I82" i="9" s="1"/>
  <c r="I145" i="9" s="1"/>
  <c r="H82" i="9"/>
  <c r="H145" i="9" s="1"/>
  <c r="E64" i="9"/>
  <c r="F60" i="9"/>
  <c r="D172" i="9"/>
  <c r="C172" i="9"/>
  <c r="B172" i="9"/>
  <c r="D171" i="9"/>
  <c r="C171" i="9"/>
  <c r="B171" i="9"/>
  <c r="D136" i="9"/>
  <c r="C136" i="9"/>
  <c r="B136" i="9"/>
  <c r="D125" i="9"/>
  <c r="D130" i="9" s="1"/>
  <c r="C125" i="9"/>
  <c r="C130" i="9" s="1"/>
  <c r="B125" i="9"/>
  <c r="B130" i="9" s="1"/>
  <c r="D113" i="9"/>
  <c r="D120" i="9" s="1"/>
  <c r="C113" i="9"/>
  <c r="C120" i="9" s="1"/>
  <c r="B113" i="9"/>
  <c r="B120" i="9" s="1"/>
  <c r="D90" i="9"/>
  <c r="C90" i="9"/>
  <c r="B90" i="9"/>
  <c r="D77" i="9"/>
  <c r="C77" i="9"/>
  <c r="B77" i="9"/>
  <c r="D64" i="9"/>
  <c r="D78" i="9" s="1"/>
  <c r="C64" i="9"/>
  <c r="C78" i="9" s="1"/>
  <c r="B64" i="9"/>
  <c r="B78" i="9" s="1"/>
  <c r="D34" i="5"/>
  <c r="C34" i="5"/>
  <c r="B34" i="5"/>
  <c r="D33" i="5"/>
  <c r="D34" i="4"/>
  <c r="C34" i="4"/>
  <c r="B34" i="4"/>
  <c r="D23" i="4"/>
  <c r="D28" i="4" s="1"/>
  <c r="D35" i="4" s="1"/>
  <c r="C23" i="4"/>
  <c r="C28" i="4" s="1"/>
  <c r="C35" i="4" s="1"/>
  <c r="B23" i="4"/>
  <c r="B28" i="4" s="1"/>
  <c r="B35" i="4" s="1"/>
  <c r="B37" i="4" s="1"/>
  <c r="D18" i="4"/>
  <c r="D37" i="4" s="1"/>
  <c r="D11" i="4"/>
  <c r="C11" i="4"/>
  <c r="C18" i="4" s="1"/>
  <c r="B11" i="4"/>
  <c r="B18" i="4" s="1"/>
  <c r="D36" i="3"/>
  <c r="C36" i="3"/>
  <c r="B36" i="3"/>
  <c r="C24" i="3"/>
  <c r="D23" i="3"/>
  <c r="C23" i="3"/>
  <c r="B23" i="3"/>
  <c r="C15" i="3"/>
  <c r="B15" i="3"/>
  <c r="D11" i="3"/>
  <c r="C11" i="3"/>
  <c r="D10" i="3"/>
  <c r="D24" i="3" s="1"/>
  <c r="C10" i="3"/>
  <c r="C33" i="5" s="1"/>
  <c r="B10" i="3"/>
  <c r="B32" i="1"/>
  <c r="D22" i="1"/>
  <c r="C22" i="1"/>
  <c r="C137" i="9" l="1"/>
  <c r="D137" i="9"/>
  <c r="B137" i="9"/>
  <c r="E69" i="9"/>
  <c r="E70" i="9" s="1"/>
  <c r="E110" i="9"/>
  <c r="E75" i="9"/>
  <c r="E146" i="9" s="1"/>
  <c r="E73" i="9"/>
  <c r="E65" i="9"/>
  <c r="E74" i="9"/>
  <c r="F64" i="9"/>
  <c r="F110" i="9" s="1"/>
  <c r="G60" i="9"/>
  <c r="C65" i="9"/>
  <c r="D65" i="9"/>
  <c r="B69" i="9"/>
  <c r="C69" i="9"/>
  <c r="D69" i="9"/>
  <c r="B23" i="1"/>
  <c r="B16" i="3"/>
  <c r="B24" i="1" s="1"/>
  <c r="B26" i="3"/>
  <c r="C26" i="3"/>
  <c r="C16" i="3"/>
  <c r="C24" i="1" s="1"/>
  <c r="C23" i="1"/>
  <c r="C37" i="4"/>
  <c r="B22" i="1"/>
  <c r="B33" i="5"/>
  <c r="B24" i="3"/>
  <c r="D15" i="3"/>
  <c r="E68" i="9" l="1"/>
  <c r="E123" i="9" s="1"/>
  <c r="E77" i="9"/>
  <c r="E78" i="9" s="1"/>
  <c r="E81" i="9"/>
  <c r="E80" i="9"/>
  <c r="E92" i="9" s="1"/>
  <c r="E83" i="9"/>
  <c r="G64" i="9"/>
  <c r="G110" i="9" s="1"/>
  <c r="H60" i="9"/>
  <c r="F69" i="9"/>
  <c r="F65" i="9"/>
  <c r="F73" i="9"/>
  <c r="F74" i="9"/>
  <c r="F75" i="9"/>
  <c r="F146" i="9" s="1"/>
  <c r="D80" i="9"/>
  <c r="D70" i="9"/>
  <c r="C80" i="9"/>
  <c r="C70" i="9"/>
  <c r="B70" i="9"/>
  <c r="B80" i="9"/>
  <c r="E22" i="1"/>
  <c r="C29" i="3"/>
  <c r="C38" i="3"/>
  <c r="C27" i="1"/>
  <c r="C27" i="3"/>
  <c r="C28" i="1" s="1"/>
  <c r="B27" i="1"/>
  <c r="B29" i="3"/>
  <c r="B38" i="3"/>
  <c r="B27" i="3"/>
  <c r="B28" i="1" s="1"/>
  <c r="F22" i="1"/>
  <c r="D26" i="3"/>
  <c r="D16" i="3"/>
  <c r="D24" i="1" s="1"/>
  <c r="D23" i="1"/>
  <c r="E111" i="9" l="1"/>
  <c r="F77" i="9"/>
  <c r="F78" i="9" s="1"/>
  <c r="F68" i="9"/>
  <c r="F70" i="9"/>
  <c r="G65" i="9"/>
  <c r="G73" i="9"/>
  <c r="G74" i="9"/>
  <c r="G69" i="9"/>
  <c r="G75" i="9"/>
  <c r="G146" i="9" s="1"/>
  <c r="I60" i="9"/>
  <c r="I64" i="9" s="1"/>
  <c r="I110" i="9" s="1"/>
  <c r="H64" i="9"/>
  <c r="H110" i="9" s="1"/>
  <c r="E93" i="9"/>
  <c r="E96" i="9"/>
  <c r="B92" i="9"/>
  <c r="B81" i="9"/>
  <c r="C81" i="9"/>
  <c r="C92" i="9"/>
  <c r="D81" i="9"/>
  <c r="D92" i="9"/>
  <c r="E24" i="1"/>
  <c r="E23" i="1"/>
  <c r="F23" i="1"/>
  <c r="F24" i="1"/>
  <c r="D27" i="3"/>
  <c r="D28" i="1" s="1"/>
  <c r="D38" i="3"/>
  <c r="D27" i="1"/>
  <c r="D29" i="3"/>
  <c r="C42" i="3"/>
  <c r="C40" i="3"/>
  <c r="C30" i="3"/>
  <c r="C26" i="1" s="1"/>
  <c r="C25" i="1"/>
  <c r="B40" i="3"/>
  <c r="B42" i="3"/>
  <c r="B25" i="1"/>
  <c r="B30" i="3"/>
  <c r="B26" i="1" s="1"/>
  <c r="G22" i="1"/>
  <c r="F123" i="9" l="1"/>
  <c r="F111" i="9"/>
  <c r="F80" i="9"/>
  <c r="F83" i="9" s="1"/>
  <c r="F81" i="9"/>
  <c r="G68" i="9"/>
  <c r="G70" i="9"/>
  <c r="H73" i="9"/>
  <c r="H75" i="9"/>
  <c r="H146" i="9" s="1"/>
  <c r="H65" i="9"/>
  <c r="H74" i="9"/>
  <c r="H69" i="9"/>
  <c r="F92" i="9"/>
  <c r="G77" i="9"/>
  <c r="G78" i="9" s="1"/>
  <c r="E144" i="9"/>
  <c r="E152" i="9" s="1"/>
  <c r="E97" i="9"/>
  <c r="I65" i="9"/>
  <c r="I69" i="9"/>
  <c r="I73" i="9"/>
  <c r="I75" i="9"/>
  <c r="I146" i="9" s="1"/>
  <c r="I74" i="9"/>
  <c r="D96" i="9"/>
  <c r="D94" i="9"/>
  <c r="C96" i="9"/>
  <c r="C94" i="9"/>
  <c r="B96" i="9"/>
  <c r="B94" i="9"/>
  <c r="E28" i="1"/>
  <c r="E27" i="1"/>
  <c r="D42" i="3"/>
  <c r="D40" i="3"/>
  <c r="I22" i="1"/>
  <c r="H22" i="1"/>
  <c r="B46" i="3"/>
  <c r="B29" i="1"/>
  <c r="B43" i="3"/>
  <c r="B30" i="1" s="1"/>
  <c r="F27" i="1"/>
  <c r="F28" i="1"/>
  <c r="C43" i="3"/>
  <c r="C30" i="1" s="1"/>
  <c r="C46" i="3"/>
  <c r="C29" i="1"/>
  <c r="D25" i="1"/>
  <c r="D30" i="3"/>
  <c r="D26" i="1" s="1"/>
  <c r="G123" i="9" l="1"/>
  <c r="G111" i="9"/>
  <c r="I77" i="9"/>
  <c r="I78" i="9" s="1"/>
  <c r="I68" i="9"/>
  <c r="I70" i="9"/>
  <c r="H68" i="9"/>
  <c r="H70" i="9"/>
  <c r="H77" i="9"/>
  <c r="H78" i="9" s="1"/>
  <c r="G81" i="9"/>
  <c r="G80" i="9"/>
  <c r="F93" i="9"/>
  <c r="F96" i="9" s="1"/>
  <c r="B100" i="9"/>
  <c r="B97" i="9"/>
  <c r="C100" i="9"/>
  <c r="C97" i="9"/>
  <c r="D100" i="9"/>
  <c r="D97" i="9"/>
  <c r="E25" i="1"/>
  <c r="E26" i="1"/>
  <c r="C47" i="3"/>
  <c r="C32" i="1" s="1"/>
  <c r="B31" i="1"/>
  <c r="D43" i="3"/>
  <c r="D30" i="1" s="1"/>
  <c r="D29" i="1"/>
  <c r="D46" i="3"/>
  <c r="F25" i="1"/>
  <c r="F26" i="1"/>
  <c r="G23" i="1"/>
  <c r="G24" i="1"/>
  <c r="C31" i="1"/>
  <c r="D47" i="3"/>
  <c r="D32" i="1" s="1"/>
  <c r="H123" i="9" l="1"/>
  <c r="H111" i="9"/>
  <c r="I123" i="9"/>
  <c r="I111" i="9"/>
  <c r="I80" i="9"/>
  <c r="I83" i="9" s="1"/>
  <c r="I81" i="9"/>
  <c r="F97" i="9"/>
  <c r="F144" i="9"/>
  <c r="F152" i="9" s="1"/>
  <c r="H81" i="9"/>
  <c r="H80" i="9"/>
  <c r="G92" i="9"/>
  <c r="G83" i="9"/>
  <c r="D101" i="9"/>
  <c r="C101" i="9"/>
  <c r="F29" i="1"/>
  <c r="F30" i="1"/>
  <c r="E30" i="1"/>
  <c r="E29" i="1"/>
  <c r="H24" i="1"/>
  <c r="H23" i="1"/>
  <c r="I24" i="1"/>
  <c r="I23" i="1"/>
  <c r="G27" i="1"/>
  <c r="G28" i="1"/>
  <c r="D31" i="1"/>
  <c r="E32" i="1"/>
  <c r="I92" i="9" l="1"/>
  <c r="I93" i="9" s="1"/>
  <c r="I96" i="9" s="1"/>
  <c r="H83" i="9"/>
  <c r="H92" i="9"/>
  <c r="G93" i="9"/>
  <c r="G96" i="9" s="1"/>
  <c r="I27" i="1"/>
  <c r="I28" i="1"/>
  <c r="H28" i="1"/>
  <c r="H27" i="1"/>
  <c r="G25" i="1"/>
  <c r="G26" i="1"/>
  <c r="F32" i="1"/>
  <c r="E31" i="1"/>
  <c r="F31" i="1"/>
  <c r="G144" i="9" l="1"/>
  <c r="G152" i="9" s="1"/>
  <c r="G97" i="9"/>
  <c r="I97" i="9"/>
  <c r="I144" i="9"/>
  <c r="I152" i="9" s="1"/>
  <c r="H93" i="9"/>
  <c r="H96" i="9"/>
  <c r="F51" i="6"/>
  <c r="C50" i="6"/>
  <c r="F53" i="6"/>
  <c r="G29" i="1"/>
  <c r="G30" i="1"/>
  <c r="C53" i="6"/>
  <c r="B49" i="6"/>
  <c r="E49" i="6"/>
  <c r="E53" i="6"/>
  <c r="B50" i="6"/>
  <c r="E52" i="6"/>
  <c r="B52" i="6"/>
  <c r="B51" i="6"/>
  <c r="D50" i="6"/>
  <c r="B53" i="6"/>
  <c r="D49" i="6"/>
  <c r="D53" i="6"/>
  <c r="D51" i="6"/>
  <c r="D52" i="6"/>
  <c r="E50" i="6"/>
  <c r="C51" i="6"/>
  <c r="E51" i="6"/>
  <c r="F52" i="6"/>
  <c r="F49" i="6"/>
  <c r="H26" i="1"/>
  <c r="H25" i="1"/>
  <c r="C49" i="6"/>
  <c r="F50" i="6"/>
  <c r="E37" i="4"/>
  <c r="I26" i="1"/>
  <c r="I25" i="1"/>
  <c r="C52" i="6"/>
  <c r="H144" i="9" l="1"/>
  <c r="H152" i="9" s="1"/>
  <c r="H97" i="9"/>
  <c r="B46" i="6"/>
  <c r="H29" i="1"/>
  <c r="H30" i="1"/>
  <c r="F37" i="4"/>
  <c r="C46" i="6"/>
  <c r="C38" i="1"/>
  <c r="B38" i="1"/>
  <c r="I30" i="1"/>
  <c r="I29" i="1"/>
  <c r="H32" i="1"/>
  <c r="G31" i="1"/>
  <c r="G32" i="1"/>
  <c r="B37" i="1" l="1"/>
  <c r="C37" i="1"/>
  <c r="G37" i="4"/>
  <c r="I37" i="4"/>
  <c r="I32" i="1"/>
  <c r="H31" i="1"/>
  <c r="I31" i="1"/>
  <c r="H37" i="4" l="1"/>
  <c r="C39" i="1"/>
  <c r="B39" i="1"/>
  <c r="B19" i="9"/>
  <c r="B83" i="9"/>
  <c r="B84" i="9" s="1"/>
  <c r="C83" i="9"/>
  <c r="C84" i="9" s="1"/>
  <c r="C19" i="9"/>
  <c r="D83" i="9"/>
  <c r="D84" i="9" s="1"/>
  <c r="D19" i="9"/>
</calcChain>
</file>

<file path=xl/sharedStrings.xml><?xml version="1.0" encoding="utf-8"?>
<sst xmlns="http://schemas.openxmlformats.org/spreadsheetml/2006/main" count="643" uniqueCount="278">
  <si>
    <t>MONSTER BEVERAGE CORPORATION (MNST)  ·  EQUITY RESEARCH &amp; FORECASTING MODEL</t>
  </si>
  <si>
    <t>FY2022–FY2024 Historical  |  FY2025E–FY2029E Forecast  |  DCF Intrinsic Value  |  Assumptions-Driven</t>
  </si>
  <si>
    <t>Assumption</t>
  </si>
  <si>
    <t>FY2025E</t>
  </si>
  <si>
    <t>FY2026E</t>
  </si>
  <si>
    <t>FY2027E</t>
  </si>
  <si>
    <t>FY2028E</t>
  </si>
  <si>
    <t>FY2029E</t>
  </si>
  <si>
    <t xml:space="preserve">  Monster Energy® Drinks growth %</t>
  </si>
  <si>
    <t xml:space="preserve">  Strategic Brands growth %</t>
  </si>
  <si>
    <t xml:space="preserve">  Gross margin %</t>
  </si>
  <si>
    <t xml:space="preserve">  G&amp;A % of net sales (adj.)</t>
  </si>
  <si>
    <t xml:space="preserve">  D&amp;A ($M)</t>
  </si>
  <si>
    <t xml:space="preserve">  CapEx ($M)</t>
  </si>
  <si>
    <t xml:space="preserve">  Effective tax rate %</t>
  </si>
  <si>
    <t xml:space="preserve">  Diluted shares (M)</t>
  </si>
  <si>
    <t xml:space="preserve">  Share buybacks ($M)</t>
  </si>
  <si>
    <t xml:space="preserve">  WACC %</t>
  </si>
  <si>
    <t xml:space="preserve">  Terminal growth rate %</t>
  </si>
  <si>
    <t>INCOME STATEMENT SUMMARY  ($thousands)</t>
  </si>
  <si>
    <t>FY2022A</t>
  </si>
  <si>
    <t>FY2023A</t>
  </si>
  <si>
    <t>FY2024A</t>
  </si>
  <si>
    <t xml:space="preserve">  Net Sales</t>
  </si>
  <si>
    <t xml:space="preserve">  Gross Profit</t>
  </si>
  <si>
    <t xml:space="preserve">    GM %</t>
  </si>
  <si>
    <t xml:space="preserve">  EBITDA</t>
  </si>
  <si>
    <t xml:space="preserve">    EBITDA %</t>
  </si>
  <si>
    <t xml:space="preserve">  EBIT</t>
  </si>
  <si>
    <t xml:space="preserve">    EBIT %</t>
  </si>
  <si>
    <t xml:space="preserve">  Net Income</t>
  </si>
  <si>
    <t xml:space="preserve">    NI Margin %</t>
  </si>
  <si>
    <t xml:space="preserve">  Diluted EPS</t>
  </si>
  <si>
    <t xml:space="preserve">  EPS Growth %</t>
  </si>
  <si>
    <t>VALUATION SUMMARY</t>
  </si>
  <si>
    <t>Method</t>
  </si>
  <si>
    <t>Implied Price ($)</t>
  </si>
  <si>
    <t>Upside / (Dn)</t>
  </si>
  <si>
    <t xml:space="preserve">  DCF (Gordon Growth)</t>
  </si>
  <si>
    <t>WACC=9.0%, TGR=4.0%</t>
  </si>
  <si>
    <t xml:space="preserve">  EV/EBITDA (27.0x FY29E)</t>
  </si>
  <si>
    <t>FY2029E EBITDA × 27x exit</t>
  </si>
  <si>
    <t xml:space="preserve">  P/E (30.0x FY29E EPS)</t>
  </si>
  <si>
    <t>FY2029E EPS × 30x exit</t>
  </si>
  <si>
    <t>Disclaimer: This is a financial model for analytical purposes only, not investment advice.  Source: MNST 10-K FY2024 (SEC EDGAR #0001410578-25-000248), Q4 2024 Earnings Release (Feb 27, 2025).</t>
  </si>
  <si>
    <t>Model structure:  Dashboard → Assumptions (edit here) → Income Statement → Balance Sheet → Cash Flow → DCF Valuation</t>
  </si>
  <si>
    <t>MONSTER BEVERAGE CORPORATION (MNST) — FORECASTING MODEL ASSUMPTIONS</t>
  </si>
  <si>
    <t>Blue cells = hardcoded inputs (change these to update the entire model)  |  All $ amounts in millions unless noted</t>
  </si>
  <si>
    <t>ASSUMPTION</t>
  </si>
  <si>
    <t>FY2024 Actual</t>
  </si>
  <si>
    <t>RATIONALE / BASIS</t>
  </si>
  <si>
    <t xml:space="preserve">  REVENUE GROWTH ASSUMPTIONS</t>
  </si>
  <si>
    <t xml:space="preserve">  Monster Energy® Drinks — net sales growth %</t>
  </si>
  <si>
    <t>FY25: ~7% driven by intl expansion &amp; Nov-24 price hike; moderating to 7% LT as category matures</t>
  </si>
  <si>
    <t xml:space="preserve">  Strategic Brands — net sales growth %</t>
  </si>
  <si>
    <t>FY25: 15% on Predator/Fury affordable EM growth; normalising to 8% by FY28+</t>
  </si>
  <si>
    <t xml:space="preserve">  Alcohol Brands — net sales growth %</t>
  </si>
  <si>
    <t>Post-restructuring recovery; mgmt exploring intl distribution; assumes no further impairments</t>
  </si>
  <si>
    <t xml:space="preserve">  Other (AFF third-party) — net sales growth %</t>
  </si>
  <si>
    <t>Immaterial segment; assumed ~3% p.a. growth</t>
  </si>
  <si>
    <t xml:space="preserve">  GROSS MARGIN &amp; OPERATING EXPENSE ASSUMPTIONS</t>
  </si>
  <si>
    <t>FY24: 54.0%; improving on pricing actions, freight tailwind &amp; better mix; ceiling ~56% LT</t>
  </si>
  <si>
    <t xml:space="preserve">  Distribution expense % of net sales</t>
  </si>
  <si>
    <t>FY24: 3.9%; stable with slight scale benefit</t>
  </si>
  <si>
    <t xml:space="preserve">  Selling expense % of net sales</t>
  </si>
  <si>
    <t>FY24: 9.0%; slight rise FY26 on intl push; ~9% LT target</t>
  </si>
  <si>
    <t xml:space="preserve">  G&amp;A expense % of net sales (adj., ex-impair)</t>
  </si>
  <si>
    <t>FY24 adj ~15.4% (excl $138.8M impair); improving with scale leverage to 12.5% by FY29</t>
  </si>
  <si>
    <t xml:space="preserve">  Non-recurring / impairment charges ($M)</t>
  </si>
  <si>
    <t>FY24 incl $138.8M Alcohol segment impairment; modeled as $0 fwd (no further assumed)</t>
  </si>
  <si>
    <t xml:space="preserve">  D&amp;A, CAPEX &amp; STOCK-BASED COMPENSATION ($M)</t>
  </si>
  <si>
    <t xml:space="preserve">  Depreciation &amp; amortization ($M)</t>
  </si>
  <si>
    <t>Increasing with CapEx investment; ~2-yr lag between CapEx spend and D&amp;A recognition</t>
  </si>
  <si>
    <t xml:space="preserve">  Capital expenditures ($M)</t>
  </si>
  <si>
    <t>FY24: $264M; Norwalk &amp; Athy capacity + Phoenix; CapEx/sales declines from 3.5% to ~4.3%</t>
  </si>
  <si>
    <t xml:space="preserve">  Stock-based compensation ($M)</t>
  </si>
  <si>
    <t>FY24: $82.3M; moderate growth as company expands headcount and grants</t>
  </si>
  <si>
    <t xml:space="preserve">  BELOW-THE-LINE ASSUMPTIONS</t>
  </si>
  <si>
    <t xml:space="preserve">  Interest income ($M)</t>
  </si>
  <si>
    <t>FY24: $115M; declining as cash used for buybacks &amp; CapEx; rates assumed ~4.5% on avg cash</t>
  </si>
  <si>
    <t xml:space="preserve">  Interest expense ($M)</t>
  </si>
  <si>
    <t>FY24: $27.9M on $750M term loan; declining as debt is repaid ~$50M/yr</t>
  </si>
  <si>
    <t xml:space="preserve">  FX &amp; other income/(expense) ($M)</t>
  </si>
  <si>
    <t>FY24: ($26.4M) FX loss + ($1.6M) other; assumed modest FX headwind of ($15M) in FY25</t>
  </si>
  <si>
    <t>FY24: 24.1%; normalized at ~24% (US federal 21% + state/foreign blend)</t>
  </si>
  <si>
    <t xml:space="preserve">  WORKING CAPITAL ASSUMPTIONS (DAYS)</t>
  </si>
  <si>
    <t xml:space="preserve">  Days Sales Outstanding (DSO)</t>
  </si>
  <si>
    <t>FY24: 59.5 days (AR/Net Sales×365); gradual improvement in collections</t>
  </si>
  <si>
    <t xml:space="preserve">  Days Inventory Outstanding (DIO)</t>
  </si>
  <si>
    <t>FY24: 78.1 days (post-destocking from 106 in FY23); normalising to ~72 days</t>
  </si>
  <si>
    <t xml:space="preserve">  Days Payable Outstanding (DPO)</t>
  </si>
  <si>
    <t>FY24: 49.5 days; slight improvement in payables management to ~52 days</t>
  </si>
  <si>
    <t xml:space="preserve">  CAPITAL STRUCTURE &amp; BUYBACK ASSUMPTIONS</t>
  </si>
  <si>
    <t xml:space="preserve">  Share repurchases ($M)</t>
  </si>
  <si>
    <t>FY24: $762M (open market) + $3B tender; assume $500-700M p.a. ongoing; ~Aug-24 plan has $500M remaining</t>
  </si>
  <si>
    <t xml:space="preserve">  Diluted shares outstanding (M, period avg)</t>
  </si>
  <si>
    <t>FY24: 1,013M diluted avg; declining ~2-3% p.a. via buybacks net of option exercises</t>
  </si>
  <si>
    <t xml:space="preserve">  Long-term debt outstanding ($M, period end)</t>
  </si>
  <si>
    <t>FY24: $374M term loan; assumed $50M p.a. repayment; minimal additional debt</t>
  </si>
  <si>
    <t xml:space="preserve">  VALUATION &amp; DCF INPUTS</t>
  </si>
  <si>
    <t>—</t>
  </si>
  <si>
    <t>Risk-free rate 4.3% (10yr UST) + beta 0.7 × ERP 6.5% = equity; minimal debt WACC</t>
  </si>
  <si>
    <t>~4% reflects long-term nominal energy drink category growth + international expansion</t>
  </si>
  <si>
    <t xml:space="preserve">  EV/EBITDA exit multiple (FY2029E)</t>
  </si>
  <si>
    <t>Based on current MNST NTM EV/EBITDA ~25x; 27x reflects continued premium for growth</t>
  </si>
  <si>
    <t xml:space="preserve">  P/E exit multiple (FY2029E)</t>
  </si>
  <si>
    <t>Current P/E ~35x; 30x reflects some multiple de-rating as growth moderates</t>
  </si>
  <si>
    <t xml:space="preserve">  Current share price ($)</t>
  </si>
  <si>
    <t>Reference price for upside/downside calculation (update as needed)</t>
  </si>
  <si>
    <t xml:space="preserve">  Net debt FY2024 actual ($M)</t>
  </si>
  <si>
    <t>Debt $374M minus Cash $1,533M = Net Cash of $1,159M (negative net debt = net cash)</t>
  </si>
  <si>
    <t>Source: MNST 10-K FY2024 (Dec 31, 2024), SEC EDGAR Accession #0001410578-25-000248 | Q4 2024 Earnings Press Release (Feb 27, 2025)</t>
  </si>
  <si>
    <t>MONSTER BEVERAGE CORPORATION — CONSOLIDATED INCOME STATEMENT</t>
  </si>
  <si>
    <t>Historical: Blue (hardcoded from 10-K)  |  Forecast: Black formulas driven by Assumptions sheet  |  $thousands unless noted</t>
  </si>
  <si>
    <t>FY2022</t>
  </si>
  <si>
    <t>FY2023</t>
  </si>
  <si>
    <t>FY2024</t>
  </si>
  <si>
    <t xml:space="preserve">  NET SALES BY SEGMENT ($THOUSANDS)</t>
  </si>
  <si>
    <t xml:space="preserve">  Monster Energy® Drinks</t>
  </si>
  <si>
    <t xml:space="preserve">  Strategic Brands</t>
  </si>
  <si>
    <t xml:space="preserve">  Alcohol Brands</t>
  </si>
  <si>
    <t xml:space="preserve">  Other</t>
  </si>
  <si>
    <t xml:space="preserve">  TOTAL NET SALES</t>
  </si>
  <si>
    <t xml:space="preserve">    YoY Growth %</t>
  </si>
  <si>
    <t xml:space="preserve">  COST OF SALES &amp; GROSS PROFIT</t>
  </si>
  <si>
    <t xml:space="preserve">  Cost of sales</t>
  </si>
  <si>
    <t xml:space="preserve">  GROSS PROFIT</t>
  </si>
  <si>
    <t xml:space="preserve">    Gross margin %</t>
  </si>
  <si>
    <t xml:space="preserve">  OPERATING EXPENSES</t>
  </si>
  <si>
    <t xml:space="preserve">  Distribution expenses</t>
  </si>
  <si>
    <t xml:space="preserve">  Selling expenses</t>
  </si>
  <si>
    <t xml:space="preserve">  General &amp; administrative (adj.)</t>
  </si>
  <si>
    <t xml:space="preserve">  Non-recurring / impairment charges</t>
  </si>
  <si>
    <t xml:space="preserve">  TOTAL OPERATING EXPENSES</t>
  </si>
  <si>
    <t xml:space="preserve">    Total opex % of net sales (adj. excl impairment)</t>
  </si>
  <si>
    <t xml:space="preserve">  OPERATING INCOME (EBIT)</t>
  </si>
  <si>
    <t xml:space="preserve">    EBIT margin %</t>
  </si>
  <si>
    <t xml:space="preserve">  Add: Depreciation &amp; amortization ($K)</t>
  </si>
  <si>
    <t xml:space="preserve">    EBITDA margin %</t>
  </si>
  <si>
    <t xml:space="preserve">  NON-OPERATING INCOME / (EXPENSE)</t>
  </si>
  <si>
    <t xml:space="preserve">  Interest income</t>
  </si>
  <si>
    <t xml:space="preserve">  Interest expense</t>
  </si>
  <si>
    <t xml:space="preserve">  FX &amp; other income/(expense)</t>
  </si>
  <si>
    <t xml:space="preserve">  Total other income/(expense), net</t>
  </si>
  <si>
    <t xml:space="preserve">  INCOME BEFORE PROVISION FOR INCOME TAXES</t>
  </si>
  <si>
    <t xml:space="preserve">  Provision for income taxes</t>
  </si>
  <si>
    <t xml:space="preserve">    Effective tax rate %</t>
  </si>
  <si>
    <t xml:space="preserve">  NET INCOME</t>
  </si>
  <si>
    <t xml:space="preserve">    Net income margin %</t>
  </si>
  <si>
    <t xml:space="preserve">  Diluted shares outstanding (millions)</t>
  </si>
  <si>
    <t xml:space="preserve">  DILUTED EPS ($)</t>
  </si>
  <si>
    <t xml:space="preserve">    YoY EPS growth %</t>
  </si>
  <si>
    <t>Source: MNST 10-K FY2024, SEC EDGAR #0001410578-25-000248 | Forecast driven by Assumptions sheet</t>
  </si>
  <si>
    <t>MONSTER BEVERAGE CORPORATION — CONSOLIDATED BALANCE SHEET</t>
  </si>
  <si>
    <t>Historical: Blue (hardcoded from 10-K)  |  Forecast: formulas driven by IS + Assumptions  |  $thousands</t>
  </si>
  <si>
    <t xml:space="preserve">  CURRENT ASSETS</t>
  </si>
  <si>
    <t xml:space="preserve">  Cash and cash equivalents</t>
  </si>
  <si>
    <t xml:space="preserve">  Short-term investments</t>
  </si>
  <si>
    <t xml:space="preserve">  Accounts receivable, net</t>
  </si>
  <si>
    <t xml:space="preserve">  Inventories</t>
  </si>
  <si>
    <t xml:space="preserve">  Prepaid expenses &amp; other current assets</t>
  </si>
  <si>
    <t>TOTAL CURRENT ASSETS</t>
  </si>
  <si>
    <t xml:space="preserve">  NON-CURRENT ASSETS</t>
  </si>
  <si>
    <t xml:space="preserve">  Property and equipment, net</t>
  </si>
  <si>
    <t xml:space="preserve">  Goodwill</t>
  </si>
  <si>
    <t xml:space="preserve">  Other intangible assets, net</t>
  </si>
  <si>
    <t xml:space="preserve">  Deferred income taxes &amp; other non-current</t>
  </si>
  <si>
    <t>TOTAL ASSETS</t>
  </si>
  <si>
    <t xml:space="preserve">  CURRENT LIABILITIES</t>
  </si>
  <si>
    <t xml:space="preserve">  Accounts payable</t>
  </si>
  <si>
    <t xml:space="preserve">  Accrued liabilities &amp; other current</t>
  </si>
  <si>
    <t>TOTAL CURRENT LIABILITIES</t>
  </si>
  <si>
    <t xml:space="preserve">  NON-CURRENT LIABILITIES</t>
  </si>
  <si>
    <t xml:space="preserve">  Long-term debt</t>
  </si>
  <si>
    <t xml:space="preserve">  Deferred revenue &amp; other LT liabilities</t>
  </si>
  <si>
    <t>TOTAL LIABILITIES</t>
  </si>
  <si>
    <t xml:space="preserve">  STOCKHOLDERS' EQUITY</t>
  </si>
  <si>
    <t xml:space="preserve">  Common stock &amp; additional paid-in capital</t>
  </si>
  <si>
    <t xml:space="preserve">  Retained earnings</t>
  </si>
  <si>
    <t xml:space="preserve">  AOCI &amp; treasury stock, net</t>
  </si>
  <si>
    <t>TOTAL STOCKHOLDERS' EQUITY</t>
  </si>
  <si>
    <t>TOTAL LIABILITIES &amp; EQUITY</t>
  </si>
  <si>
    <t xml:space="preserve">  BALANCE CHECK (TA - TL&amp;E, should be 0)</t>
  </si>
  <si>
    <t>MONSTER BEVERAGE CORPORATION — CONSOLIDATED CASH FLOW STATEMENT</t>
  </si>
  <si>
    <t>Historical: Blue (hardcoded from 10-K)  |  Forecast: formulas  |  $thousands</t>
  </si>
  <si>
    <t xml:space="preserve"> 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</si>
  <si>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</si>
  <si>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</si>
  <si>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</si>
  <si>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Add: Impairment &amp; non-cash charges</t>
  </si>
  <si>
    <t xml:space="preserve">  Change in accounts receivable</t>
  </si>
  <si>
    <t xml:space="preserve">  Change in inventories</t>
  </si>
  <si>
    <t xml:space="preserve">  Change in accounts payable</t>
  </si>
  <si>
    <t xml:space="preserve">  Change in other working capital</t>
  </si>
  <si>
    <t>NET CASH PROVIDED BY OPERATING ACTIVITIES</t>
  </si>
  <si>
    <t xml:space="preserve">  INVESTING ACTIVITIES</t>
  </si>
  <si>
    <t xml:space="preserve">  Capital expenditures</t>
  </si>
  <si>
    <t xml:space="preserve">  Net investments (purchase)/maturity</t>
  </si>
  <si>
    <t>NET CASH FROM INVESTING</t>
  </si>
  <si>
    <t xml:space="preserve">  FINANCING ACTIVITIES</t>
  </si>
  <si>
    <t xml:space="preserve">  Share repurchases</t>
  </si>
  <si>
    <t xml:space="preserve">  Proceeds from option exercises / ESPP</t>
  </si>
  <si>
    <t xml:space="preserve">  Net debt issuance (repayment)</t>
  </si>
  <si>
    <t>NET CASH FROM FINANCING</t>
  </si>
  <si>
    <t xml:space="preserve">  Effect of exchange rates on cash</t>
  </si>
  <si>
    <t>NET CHANGE IN CASH &amp; EQUIVALENTS</t>
  </si>
  <si>
    <t xml:space="preserve">  Cash, beginning of period</t>
  </si>
  <si>
    <t xml:space="preserve">  Cash, end of period</t>
  </si>
  <si>
    <t xml:space="preserve">  FREE CASH FLOW METRICS</t>
  </si>
  <si>
    <t xml:space="preserve">  Free Cash Flow (OCF - CapEx)  $K</t>
  </si>
  <si>
    <t xml:space="preserve">    FCF margin %</t>
  </si>
  <si>
    <t xml:space="preserve">    FCF per diluted share ($)</t>
  </si>
  <si>
    <t>MONSTER BEVERAGE CORPORATION — DCF VALUATION &amp; SENSITIVITY ANALYSIS</t>
  </si>
  <si>
    <t>Intrinsic value estimate based on 5-year FCFF DCF + exit multiple cross-check  |  $thousands unless noted</t>
  </si>
  <si>
    <t>Total / Notes</t>
  </si>
  <si>
    <t xml:space="preserve">  WACC (from Assumptions sheet)</t>
  </si>
  <si>
    <t>Change WACC in Assumptions sheet</t>
  </si>
  <si>
    <t xml:space="preserve">  Terminal growth rate (from Assumptions sheet)</t>
  </si>
  <si>
    <t xml:space="preserve">  STEP 1: UNLEVERED FREE CASH FLOW TO FIRM (FCFF)</t>
  </si>
  <si>
    <t>EBIT (from Income Statement)</t>
  </si>
  <si>
    <t xml:space="preserve">  NOPAT = EBIT × (1 − Tax Rate)</t>
  </si>
  <si>
    <t xml:space="preserve">  Add: D&amp;A</t>
  </si>
  <si>
    <t xml:space="preserve">  Less: CapEx (negative)</t>
  </si>
  <si>
    <t xml:space="preserve">  Less: Δ Net Working Capital (negative = cash use)</t>
  </si>
  <si>
    <t>FREE CASH FLOW TO FIRM (FCFF)</t>
  </si>
  <si>
    <t xml:space="preserve">  Year #</t>
  </si>
  <si>
    <t xml:space="preserve">  Discount factor @ WACC</t>
  </si>
  <si>
    <t xml:space="preserve">  PV of FCFF</t>
  </si>
  <si>
    <t xml:space="preserve">  STEP 2: ENTERPRISE &amp; EQUITY VALUE</t>
  </si>
  <si>
    <t xml:space="preserve">  Sum of PV of FCFFs (Years 1–5)</t>
  </si>
  <si>
    <t xml:space="preserve">  Terminal Value (Gordon Growth: FCFF₅ × (1+TGR) / (WACC − TGR))</t>
  </si>
  <si>
    <t xml:space="preserve">  PV of Terminal Value</t>
  </si>
  <si>
    <t>ENTERPRISE VALUE  ($K)</t>
  </si>
  <si>
    <t>TV as % of EV shown below</t>
  </si>
  <si>
    <t xml:space="preserve">  Less: Net Debt (Debt − Cash, FY2024A)  [neg = net cash position]</t>
  </si>
  <si>
    <t>EQUITY VALUE  ($K)</t>
  </si>
  <si>
    <t xml:space="preserve">  Diluted shares outstanding FY2025E (millions)</t>
  </si>
  <si>
    <t>◆  INTRINSIC VALUE PER SHARE  ($)</t>
  </si>
  <si>
    <t xml:space="preserve">  Current market price ($)</t>
  </si>
  <si>
    <t xml:space="preserve">  Implied upside / (downside) vs. current price</t>
  </si>
  <si>
    <t xml:space="preserve">  STEP 3A: EV/EBITDA EXIT MULTIPLE CROSS-CHECK (FY2029E)</t>
  </si>
  <si>
    <t xml:space="preserve">  FY2029E EBITDA  ($K)</t>
  </si>
  <si>
    <t xml:space="preserve">  EV/EBITDA exit multiple</t>
  </si>
  <si>
    <t xml:space="preserve">  Implied Enterprise Value  ($K)</t>
  </si>
  <si>
    <t xml:space="preserve">  Less: Net Debt (same FY2024A)</t>
  </si>
  <si>
    <t xml:space="preserve">  Implied Equity Value  ($K)</t>
  </si>
  <si>
    <t xml:space="preserve">  Shares FY2029E (M)</t>
  </si>
  <si>
    <t>◆  Price per share — EV/EBITDA method  ($)</t>
  </si>
  <si>
    <t xml:space="preserve">  STEP 3B: P/E EXIT MULTIPLE CROSS-CHECK (FY2029E)</t>
  </si>
  <si>
    <t xml:space="preserve">  FY2029E Diluted EPS  ($)</t>
  </si>
  <si>
    <t xml:space="preserve">  P/E exit multiple</t>
  </si>
  <si>
    <t>◆  Price per share — P/E method  ($)</t>
  </si>
  <si>
    <t xml:space="preserve">  VALUATION SUMMARY</t>
  </si>
  <si>
    <t>Upside / (Downside)</t>
  </si>
  <si>
    <t xml:space="preserve">  DCF (WACC / Terminal Growth)</t>
  </si>
  <si>
    <t xml:space="preserve">  DCF SENSITIVITY ANALYSIS:  IMPLIED PRICE PER SHARE ($)  VS  WACC × TERMINAL GROWTH RATE</t>
  </si>
  <si>
    <t>WACC ↓ / TGR →</t>
  </si>
  <si>
    <t>3.0%</t>
  </si>
  <si>
    <t>3.5%</t>
  </si>
  <si>
    <t>4.0%</t>
  </si>
  <si>
    <t>4.5%</t>
  </si>
  <si>
    <t>5.0%</t>
  </si>
  <si>
    <t xml:space="preserve">  7.5%</t>
  </si>
  <si>
    <t xml:space="preserve">  8.0%</t>
  </si>
  <si>
    <t xml:space="preserve">  8.5%</t>
  </si>
  <si>
    <t xml:space="preserve">  9.0%</t>
  </si>
  <si>
    <t xml:space="preserve">  9.5%</t>
  </si>
  <si>
    <t>FY2022 Actual</t>
  </si>
  <si>
    <t>FY2023 Actual</t>
  </si>
  <si>
    <t>N/A</t>
  </si>
  <si>
    <t xml:space="preserve">KEY MODEL ASSUMPTIONS SNAPSHOT </t>
  </si>
  <si>
    <t xml:space="preserve">  Depreciation &amp; amortization % of PPE</t>
  </si>
  <si>
    <t xml:space="preserve">  Stock-based compensation % of G&amp;A expense</t>
  </si>
  <si>
    <t xml:space="preserve">  Accured Liabilities and other current in % of net sales</t>
  </si>
  <si>
    <t xml:space="preserve">  Short Term Investments ($M)</t>
  </si>
  <si>
    <t xml:space="preserve">  % change of Prepaid Expenses</t>
  </si>
  <si>
    <t>-</t>
  </si>
  <si>
    <t xml:space="preserve">  Diluted shares outstanding FY2025E ($K)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</si>
</sst>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0.0%;\(0.0%\);\-"/>
    <numFmt numFmtId="165" formatCode="#,##0.0;\(#,##0.0\);\-"/>
    <numFmt numFmtId="166" formatCode="#,##0;\(#,##0\);\-"/>
    <numFmt numFmtId="167" formatCode="\$#,##0.00;&quot;($&quot;#,##0.00\);\-"/>
    <numFmt numFmtId="168" formatCode="0.0\x;\(0.0&quot;x)&quot;;\-"/>
    <numFmt numFmtId="169" formatCode="0.00%;\(0.00%\);\-"/>
    <numFmt numFmtId="170" formatCode="0.0%"/>
    <numFmt numFmtId="171" formatCode="_ * #,##0_ ;_ * \-#,##0_ ;_ * &quot;-&quot;??_ ;_ @_ "/>
  </numFmts>
  <fonts count="29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sz val="9"/>
      <color rgb="FF375623"/>
      <name val="Arial"/>
      <charset val="1"/>
    </font>
    <font>
      <i/>
      <sz val="8"/>
      <color rgb="FF7F7F7F"/>
      <name val="Arial"/>
      <charset val="1"/>
    </font>
    <font>
      <b/>
      <sz val="11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FF"/>
      <name val="Arial"/>
      <charset val="1"/>
    </font>
    <font>
      <sz val="9"/>
      <color rgb="FF7F7F7F"/>
      <name val="Arial"/>
      <charset val="1"/>
    </font>
    <font>
      <i/>
      <sz val="9"/>
      <color rgb="FF7F7F7F"/>
      <name val="Arial"/>
      <charset val="1"/>
    </font>
    <font>
      <i/>
      <sz val="9"/>
      <color rgb="FFC00000"/>
      <name val="Arial"/>
      <charset val="1"/>
    </font>
    <font>
      <b/>
      <sz val="9"/>
      <color rgb="FF0000FF"/>
      <name val="Arial"/>
      <charset val="1"/>
    </font>
    <font>
      <sz val="10"/>
      <color rgb="FF0000FF"/>
      <name val="Arial"/>
      <family val="2"/>
    </font>
    <font>
      <b/>
      <sz val="12"/>
      <color rgb="FFFFFFFF"/>
      <name val="Arial Narrow"/>
      <family val="2"/>
    </font>
    <font>
      <sz val="12"/>
      <color theme="1"/>
      <name val="Arial Narrow"/>
      <family val="2"/>
    </font>
    <font>
      <i/>
      <sz val="12"/>
      <color rgb="FFFFFFFF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2"/>
      <color rgb="FF0000FF"/>
      <name val="Arial Narrow"/>
      <family val="2"/>
    </font>
    <font>
      <i/>
      <sz val="12"/>
      <color rgb="FF7F7F7F"/>
      <name val="Arial Narrow"/>
      <family val="2"/>
    </font>
    <font>
      <sz val="12"/>
      <name val="Arial Narrow"/>
      <family val="2"/>
    </font>
    <font>
      <sz val="12"/>
      <color rgb="FF7F7F7F"/>
      <name val="Arial Narrow"/>
      <family val="2"/>
    </font>
    <font>
      <sz val="12"/>
      <color rgb="FF375623"/>
      <name val="Arial Narrow"/>
      <family val="2"/>
    </font>
    <font>
      <b/>
      <sz val="12"/>
      <color rgb="FF0000FF"/>
      <name val="Arial Narrow"/>
      <family val="2"/>
    </font>
    <font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15868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DEEAF1"/>
        <bgColor rgb="FFE2EFDA"/>
      </patternFill>
    </fill>
    <fill>
      <patternFill patternType="solid">
        <fgColor rgb="FF215868"/>
        <bgColor rgb="FF1F38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9" fontId="1" fillId="0" borderId="0" applyBorder="0" applyAlignment="0" applyProtection="0"/>
    <xf numFmtId="43" fontId="28" fillId="0" borderId="0" applyFont="0" applyFill="0" applyBorder="0" applyAlignment="0" applyProtection="0"/>
  </cellStyleXfs>
  <cellXfs count="141">
    <xf numFmtId="0" fontId="0" fillId="0" borderId="0" xfId="0"/>
    <xf numFmtId="0" fontId="10" fillId="6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164" fontId="7" fillId="5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165" fontId="7" fillId="5" borderId="0" xfId="0" applyNumberFormat="1" applyFont="1" applyFill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6" fontId="7" fillId="5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167" fontId="7" fillId="5" borderId="0" xfId="0" applyNumberFormat="1" applyFont="1" applyFill="1" applyAlignment="1">
      <alignment horizontal="right" vertical="center"/>
    </xf>
    <xf numFmtId="0" fontId="8" fillId="5" borderId="0" xfId="0" applyFont="1" applyFill="1" applyAlignment="1">
      <alignment horizontal="left" vertical="center"/>
    </xf>
    <xf numFmtId="164" fontId="11" fillId="0" borderId="0" xfId="0" applyNumberFormat="1" applyFont="1" applyAlignment="1">
      <alignment horizontal="right" vertical="center"/>
    </xf>
    <xf numFmtId="164" fontId="11" fillId="4" borderId="0" xfId="0" applyNumberFormat="1" applyFont="1" applyFill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166" fontId="11" fillId="4" borderId="0" xfId="0" applyNumberFormat="1" applyFont="1" applyFill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165" fontId="11" fillId="4" borderId="0" xfId="0" applyNumberFormat="1" applyFont="1" applyFill="1" applyAlignment="1">
      <alignment horizontal="right" vertical="center"/>
    </xf>
    <xf numFmtId="164" fontId="11" fillId="7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center" vertical="center"/>
    </xf>
    <xf numFmtId="168" fontId="11" fillId="7" borderId="0" xfId="0" applyNumberFormat="1" applyFont="1" applyFill="1" applyAlignment="1">
      <alignment horizontal="right" vertical="center"/>
    </xf>
    <xf numFmtId="167" fontId="11" fillId="7" borderId="0" xfId="0" applyNumberFormat="1" applyFont="1" applyFill="1" applyAlignment="1">
      <alignment horizontal="right" vertical="center"/>
    </xf>
    <xf numFmtId="165" fontId="11" fillId="7" borderId="0" xfId="0" applyNumberFormat="1" applyFont="1" applyFill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166" fontId="10" fillId="6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164" fontId="13" fillId="0" borderId="0" xfId="0" applyNumberFormat="1" applyFont="1" applyAlignment="1">
      <alignment horizontal="right" vertical="center"/>
    </xf>
    <xf numFmtId="0" fontId="10" fillId="8" borderId="0" xfId="0" applyFont="1" applyFill="1" applyAlignment="1">
      <alignment horizontal="left" vertical="center"/>
    </xf>
    <xf numFmtId="166" fontId="10" fillId="8" borderId="1" xfId="0" applyNumberFormat="1" applyFont="1" applyFill="1" applyBorder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7" fontId="10" fillId="8" borderId="1" xfId="0" applyNumberFormat="1" applyFont="1" applyFill="1" applyBorder="1" applyAlignment="1">
      <alignment horizontal="right" vertical="center"/>
    </xf>
    <xf numFmtId="166" fontId="14" fillId="0" borderId="0" xfId="0" applyNumberFormat="1" applyFont="1" applyAlignment="1">
      <alignment horizontal="right" vertical="center"/>
    </xf>
    <xf numFmtId="166" fontId="15" fillId="8" borderId="1" xfId="0" applyNumberFormat="1" applyFont="1" applyFill="1" applyBorder="1" applyAlignment="1">
      <alignment horizontal="right" vertical="center"/>
    </xf>
    <xf numFmtId="166" fontId="15" fillId="6" borderId="1" xfId="0" applyNumberFormat="1" applyFont="1" applyFill="1" applyBorder="1" applyAlignment="1">
      <alignment horizontal="right" vertical="center"/>
    </xf>
    <xf numFmtId="0" fontId="10" fillId="9" borderId="0" xfId="0" applyFont="1" applyFill="1" applyAlignment="1">
      <alignment horizontal="left" vertical="center"/>
    </xf>
    <xf numFmtId="166" fontId="15" fillId="9" borderId="1" xfId="0" applyNumberFormat="1" applyFont="1" applyFill="1" applyBorder="1" applyAlignment="1">
      <alignment horizontal="right" vertical="center"/>
    </xf>
    <xf numFmtId="166" fontId="10" fillId="9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67" fontId="13" fillId="0" borderId="0" xfId="0" applyNumberFormat="1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166" fontId="10" fillId="10" borderId="1" xfId="0" applyNumberFormat="1" applyFont="1" applyFill="1" applyBorder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167" fontId="10" fillId="4" borderId="1" xfId="0" applyNumberFormat="1" applyFont="1" applyFill="1" applyBorder="1" applyAlignment="1">
      <alignment horizontal="right" vertical="center"/>
    </xf>
    <xf numFmtId="164" fontId="10" fillId="8" borderId="0" xfId="0" applyNumberFormat="1" applyFont="1" applyFill="1" applyAlignment="1">
      <alignment horizontal="right" vertical="center"/>
    </xf>
    <xf numFmtId="168" fontId="7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5" fillId="11" borderId="0" xfId="0" applyFont="1" applyFill="1" applyAlignment="1">
      <alignment horizontal="center" vertical="center"/>
    </xf>
    <xf numFmtId="167" fontId="5" fillId="11" borderId="0" xfId="0" applyNumberFormat="1" applyFont="1" applyFill="1" applyAlignment="1">
      <alignment horizontal="center" vertical="center"/>
    </xf>
    <xf numFmtId="164" fontId="5" fillId="11" borderId="0" xfId="0" applyNumberFormat="1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right" vertical="center"/>
    </xf>
    <xf numFmtId="167" fontId="6" fillId="8" borderId="0" xfId="0" applyNumberFormat="1" applyFont="1" applyFill="1" applyAlignment="1">
      <alignment horizontal="right" vertical="center"/>
    </xf>
    <xf numFmtId="167" fontId="10" fillId="4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170" fontId="16" fillId="0" borderId="0" xfId="1" applyNumberFormat="1" applyFont="1" applyAlignment="1">
      <alignment horizontal="right" vertical="center"/>
    </xf>
    <xf numFmtId="9" fontId="1" fillId="12" borderId="0" xfId="1" applyFill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0" fontId="18" fillId="0" borderId="0" xfId="0" applyFont="1"/>
    <xf numFmtId="0" fontId="17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22" fillId="0" borderId="0" xfId="0" applyNumberFormat="1" applyFont="1" applyAlignment="1">
      <alignment horizontal="right" vertical="center"/>
    </xf>
    <xf numFmtId="164" fontId="22" fillId="4" borderId="0" xfId="0" applyNumberFormat="1" applyFont="1" applyFill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right"/>
    </xf>
    <xf numFmtId="165" fontId="22" fillId="0" borderId="0" xfId="0" applyNumberFormat="1" applyFont="1" applyAlignment="1">
      <alignment horizontal="right" vertical="center"/>
    </xf>
    <xf numFmtId="166" fontId="22" fillId="0" borderId="0" xfId="0" applyNumberFormat="1" applyFont="1" applyAlignment="1">
      <alignment horizontal="right" vertical="center"/>
    </xf>
    <xf numFmtId="166" fontId="22" fillId="4" borderId="0" xfId="0" applyNumberFormat="1" applyFont="1" applyFill="1" applyAlignment="1">
      <alignment horizontal="right" vertical="center"/>
    </xf>
    <xf numFmtId="170" fontId="22" fillId="0" borderId="0" xfId="1" applyNumberFormat="1" applyFont="1" applyAlignment="1">
      <alignment horizontal="right" vertical="center"/>
    </xf>
    <xf numFmtId="9" fontId="24" fillId="12" borderId="0" xfId="1" applyFont="1" applyFill="1" applyAlignment="1">
      <alignment horizontal="right" vertical="center"/>
    </xf>
    <xf numFmtId="165" fontId="22" fillId="4" borderId="0" xfId="0" applyNumberFormat="1" applyFont="1" applyFill="1" applyAlignment="1">
      <alignment horizontal="right" vertical="center"/>
    </xf>
    <xf numFmtId="0" fontId="23" fillId="0" borderId="0" xfId="0" applyFont="1" applyAlignment="1">
      <alignment horizontal="center"/>
    </xf>
    <xf numFmtId="164" fontId="22" fillId="7" borderId="0" xfId="0" applyNumberFormat="1" applyFont="1" applyFill="1" applyAlignment="1">
      <alignment horizontal="right" vertical="center"/>
    </xf>
    <xf numFmtId="0" fontId="25" fillId="0" borderId="0" xfId="0" applyFont="1" applyAlignment="1">
      <alignment horizontal="center" vertical="center"/>
    </xf>
    <xf numFmtId="168" fontId="22" fillId="7" borderId="0" xfId="0" applyNumberFormat="1" applyFont="1" applyFill="1" applyAlignment="1">
      <alignment horizontal="right" vertical="center"/>
    </xf>
    <xf numFmtId="167" fontId="22" fillId="7" borderId="0" xfId="0" applyNumberFormat="1" applyFont="1" applyFill="1" applyAlignment="1">
      <alignment horizontal="right" vertical="center"/>
    </xf>
    <xf numFmtId="165" fontId="22" fillId="7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left" vertical="center"/>
    </xf>
    <xf numFmtId="166" fontId="21" fillId="0" borderId="0" xfId="0" applyNumberFormat="1" applyFont="1" applyAlignment="1">
      <alignment horizontal="right" vertical="center"/>
    </xf>
    <xf numFmtId="166" fontId="20" fillId="6" borderId="1" xfId="0" applyNumberFormat="1" applyFont="1" applyFill="1" applyBorder="1" applyAlignment="1">
      <alignment horizontal="right" vertical="center"/>
    </xf>
    <xf numFmtId="164" fontId="23" fillId="0" borderId="0" xfId="0" applyNumberFormat="1" applyFont="1" applyAlignment="1">
      <alignment horizontal="right" vertical="center"/>
    </xf>
    <xf numFmtId="0" fontId="20" fillId="8" borderId="0" xfId="0" applyFont="1" applyFill="1" applyAlignment="1">
      <alignment horizontal="left" vertical="center"/>
    </xf>
    <xf numFmtId="166" fontId="20" fillId="8" borderId="1" xfId="0" applyNumberFormat="1" applyFont="1" applyFill="1" applyBorder="1" applyAlignment="1">
      <alignment horizontal="right" vertical="center"/>
    </xf>
    <xf numFmtId="165" fontId="21" fillId="0" borderId="0" xfId="0" applyNumberFormat="1" applyFont="1" applyAlignment="1">
      <alignment horizontal="right" vertical="center"/>
    </xf>
    <xf numFmtId="167" fontId="20" fillId="8" borderId="1" xfId="0" applyNumberFormat="1" applyFont="1" applyFill="1" applyBorder="1" applyAlignment="1">
      <alignment horizontal="right" vertical="center"/>
    </xf>
    <xf numFmtId="166" fontId="26" fillId="0" borderId="0" xfId="0" applyNumberFormat="1" applyFont="1" applyAlignment="1">
      <alignment horizontal="right" vertical="center"/>
    </xf>
    <xf numFmtId="166" fontId="27" fillId="8" borderId="1" xfId="0" applyNumberFormat="1" applyFont="1" applyFill="1" applyBorder="1" applyAlignment="1">
      <alignment horizontal="right" vertical="center"/>
    </xf>
    <xf numFmtId="166" fontId="27" fillId="6" borderId="1" xfId="0" applyNumberFormat="1" applyFont="1" applyFill="1" applyBorder="1" applyAlignment="1">
      <alignment horizontal="right" vertical="center"/>
    </xf>
    <xf numFmtId="0" fontId="20" fillId="9" borderId="0" xfId="0" applyFont="1" applyFill="1" applyAlignment="1">
      <alignment horizontal="left" vertical="center"/>
    </xf>
    <xf numFmtId="166" fontId="27" fillId="9" borderId="1" xfId="0" applyNumberFormat="1" applyFont="1" applyFill="1" applyBorder="1" applyAlignment="1">
      <alignment horizontal="right" vertical="center"/>
    </xf>
    <xf numFmtId="166" fontId="20" fillId="9" borderId="1" xfId="0" applyNumberFormat="1" applyFont="1" applyFill="1" applyBorder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67" fontId="23" fillId="0" borderId="0" xfId="0" applyNumberFormat="1" applyFont="1" applyAlignment="1">
      <alignment horizontal="right" vertical="center"/>
    </xf>
    <xf numFmtId="166" fontId="18" fillId="0" borderId="0" xfId="0" applyNumberFormat="1" applyFont="1" applyAlignment="1">
      <alignment horizontal="right" vertical="center"/>
    </xf>
    <xf numFmtId="170" fontId="16" fillId="12" borderId="0" xfId="1" applyNumberFormat="1" applyFont="1" applyFill="1" applyAlignment="1">
      <alignment horizontal="right" vertical="center"/>
    </xf>
    <xf numFmtId="170" fontId="1" fillId="0" borderId="0" xfId="1" applyNumberFormat="1"/>
    <xf numFmtId="10" fontId="18" fillId="12" borderId="0" xfId="0" applyNumberFormat="1" applyFont="1" applyFill="1"/>
    <xf numFmtId="170" fontId="22" fillId="0" borderId="0" xfId="1" applyNumberFormat="1" applyFont="1"/>
    <xf numFmtId="166" fontId="22" fillId="0" borderId="0" xfId="0" applyNumberFormat="1" applyFont="1"/>
    <xf numFmtId="3" fontId="18" fillId="0" borderId="0" xfId="0" applyNumberFormat="1" applyFont="1"/>
    <xf numFmtId="171" fontId="18" fillId="0" borderId="0" xfId="2" applyNumberFormat="1" applyFont="1"/>
    <xf numFmtId="9" fontId="18" fillId="0" borderId="0" xfId="0" applyNumberFormat="1" applyFont="1"/>
    <xf numFmtId="171" fontId="22" fillId="0" borderId="0" xfId="2" applyNumberFormat="1" applyFont="1" applyAlignment="1">
      <alignment horizontal="right" vertical="center"/>
    </xf>
    <xf numFmtId="171" fontId="24" fillId="0" borderId="0" xfId="2" applyNumberFormat="1" applyFont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164" fontId="26" fillId="0" borderId="0" xfId="0" applyNumberFormat="1" applyFont="1" applyAlignment="1">
      <alignment horizontal="right" vertical="center"/>
    </xf>
    <xf numFmtId="169" fontId="21" fillId="0" borderId="0" xfId="0" applyNumberFormat="1" applyFont="1" applyAlignment="1">
      <alignment horizontal="right" vertical="center"/>
    </xf>
    <xf numFmtId="166" fontId="20" fillId="10" borderId="1" xfId="0" applyNumberFormat="1" applyFont="1" applyFill="1" applyBorder="1" applyAlignment="1">
      <alignment horizontal="right" vertical="center"/>
    </xf>
    <xf numFmtId="166" fontId="20" fillId="0" borderId="0" xfId="0" applyNumberFormat="1" applyFont="1" applyAlignment="1">
      <alignment horizontal="right" vertical="center"/>
    </xf>
    <xf numFmtId="165" fontId="26" fillId="0" borderId="0" xfId="0" applyNumberFormat="1" applyFont="1" applyAlignment="1">
      <alignment horizontal="right" vertical="center"/>
    </xf>
    <xf numFmtId="167" fontId="20" fillId="4" borderId="1" xfId="0" applyNumberFormat="1" applyFont="1" applyFill="1" applyBorder="1" applyAlignment="1">
      <alignment horizontal="right" vertical="center"/>
    </xf>
    <xf numFmtId="167" fontId="26" fillId="0" borderId="0" xfId="0" applyNumberFormat="1" applyFont="1" applyAlignment="1">
      <alignment horizontal="right" vertical="center"/>
    </xf>
    <xf numFmtId="164" fontId="20" fillId="8" borderId="0" xfId="0" applyNumberFormat="1" applyFont="1" applyFill="1" applyAlignment="1">
      <alignment horizontal="right" vertical="center"/>
    </xf>
    <xf numFmtId="168" fontId="26" fillId="0" borderId="0" xfId="0" applyNumberFormat="1" applyFont="1" applyAlignment="1">
      <alignment horizontal="right" vertical="center"/>
    </xf>
    <xf numFmtId="167" fontId="21" fillId="0" borderId="0" xfId="0" applyNumberFormat="1" applyFont="1" applyAlignment="1">
      <alignment horizontal="right" vertical="center"/>
    </xf>
    <xf numFmtId="164" fontId="21" fillId="0" borderId="0" xfId="0" applyNumberFormat="1" applyFont="1" applyAlignment="1">
      <alignment horizontal="right" vertical="center"/>
    </xf>
    <xf numFmtId="0" fontId="17" fillId="11" borderId="0" xfId="0" applyFont="1" applyFill="1" applyAlignment="1">
      <alignment horizontal="center" vertical="center"/>
    </xf>
    <xf numFmtId="167" fontId="17" fillId="11" borderId="0" xfId="0" applyNumberFormat="1" applyFont="1" applyFill="1" applyAlignment="1">
      <alignment horizontal="center" vertical="center"/>
    </xf>
    <xf numFmtId="164" fontId="17" fillId="11" borderId="0" xfId="0" applyNumberFormat="1" applyFont="1" applyFill="1" applyAlignment="1">
      <alignment horizontal="center" vertical="center"/>
    </xf>
    <xf numFmtId="167" fontId="21" fillId="5" borderId="0" xfId="0" applyNumberFormat="1" applyFont="1" applyFill="1" applyAlignment="1">
      <alignment horizontal="right" vertical="center"/>
    </xf>
    <xf numFmtId="167" fontId="21" fillId="8" borderId="0" xfId="0" applyNumberFormat="1" applyFont="1" applyFill="1" applyAlignment="1">
      <alignment horizontal="right" vertical="center"/>
    </xf>
    <xf numFmtId="167" fontId="20" fillId="4" borderId="0" xfId="0" applyNumberFormat="1" applyFont="1" applyFill="1" applyAlignment="1">
      <alignment horizontal="right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1586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2CC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I42"/>
  <sheetViews>
    <sheetView showGridLines="0" topLeftCell="A14" zoomScale="88" zoomScaleNormal="85" workbookViewId="0">
      <selection activeCell="D15" sqref="D15"/>
    </sheetView>
  </sheetViews>
  <sheetFormatPr defaultColWidth="8.6640625" defaultRowHeight="14.4" x14ac:dyDescent="0.3"/>
  <cols>
    <col min="1" max="1" width="32" customWidth="1"/>
    <col min="2" max="9" width="14" customWidth="1"/>
  </cols>
  <sheetData>
    <row r="1" spans="1:9" ht="36" customHeight="1" x14ac:dyDescent="0.3">
      <c r="A1" s="118" t="s">
        <v>0</v>
      </c>
      <c r="B1" s="118"/>
      <c r="C1" s="118"/>
      <c r="D1" s="118"/>
      <c r="E1" s="118"/>
      <c r="F1" s="118"/>
      <c r="G1" s="118"/>
      <c r="H1" s="118"/>
      <c r="I1" s="118"/>
    </row>
    <row r="2" spans="1:9" x14ac:dyDescent="0.3">
      <c r="A2" s="118"/>
      <c r="B2" s="118"/>
      <c r="C2" s="118"/>
      <c r="D2" s="118"/>
      <c r="E2" s="118"/>
      <c r="F2" s="118"/>
      <c r="G2" s="118"/>
      <c r="H2" s="118"/>
      <c r="I2" s="118"/>
    </row>
    <row r="3" spans="1:9" x14ac:dyDescent="0.3">
      <c r="A3" s="119" t="s">
        <v>1</v>
      </c>
      <c r="B3" s="119"/>
      <c r="C3" s="119"/>
      <c r="D3" s="119"/>
      <c r="E3" s="119"/>
      <c r="F3" s="119"/>
      <c r="G3" s="119"/>
      <c r="H3" s="119"/>
      <c r="I3" s="119"/>
    </row>
    <row r="5" spans="1:9" ht="18" customHeight="1" x14ac:dyDescent="0.3">
      <c r="A5" s="120" t="s">
        <v>270</v>
      </c>
      <c r="B5" s="120"/>
      <c r="C5" s="120"/>
      <c r="D5" s="120"/>
      <c r="E5" s="120"/>
      <c r="F5" s="120"/>
      <c r="G5" s="120"/>
      <c r="H5" s="120"/>
      <c r="I5" s="120"/>
    </row>
    <row r="6" spans="1:9" x14ac:dyDescent="0.3">
      <c r="A6" s="3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spans="1:9" x14ac:dyDescent="0.3">
      <c r="A7" s="5" t="s">
        <v>8</v>
      </c>
      <c r="B7" s="6">
        <f>Assumptions!E6</f>
        <v>7.0000000000000007E-2</v>
      </c>
      <c r="C7" s="6">
        <f>Assumptions!F6</f>
        <v>0.08</v>
      </c>
      <c r="D7" s="6">
        <f>Assumptions!G6</f>
        <v>0.08</v>
      </c>
      <c r="E7" s="6">
        <f>Assumptions!H6</f>
        <v>7.0000000000000007E-2</v>
      </c>
      <c r="F7" s="6">
        <f>Assumptions!I6</f>
        <v>7.0000000000000007E-2</v>
      </c>
    </row>
    <row r="8" spans="1:9" x14ac:dyDescent="0.3">
      <c r="A8" s="7" t="s">
        <v>9</v>
      </c>
      <c r="B8" s="8">
        <f>Assumptions!E7</f>
        <v>0.15</v>
      </c>
      <c r="C8" s="8">
        <f>Assumptions!F7</f>
        <v>0.12</v>
      </c>
      <c r="D8" s="8">
        <f>Assumptions!G7</f>
        <v>0.1</v>
      </c>
      <c r="E8" s="8">
        <f>Assumptions!H7</f>
        <v>0.08</v>
      </c>
      <c r="F8" s="8">
        <f>Assumptions!I7</f>
        <v>0.08</v>
      </c>
    </row>
    <row r="9" spans="1:9" x14ac:dyDescent="0.3">
      <c r="A9" s="5" t="s">
        <v>10</v>
      </c>
      <c r="B9" s="6">
        <f>Assumptions!E12</f>
        <v>0.54500000000000004</v>
      </c>
      <c r="C9" s="6">
        <f>Assumptions!F12</f>
        <v>0.55000000000000004</v>
      </c>
      <c r="D9" s="6">
        <f>Assumptions!G12</f>
        <v>0.55500000000000005</v>
      </c>
      <c r="E9" s="6">
        <f>Assumptions!H12</f>
        <v>0.55800000000000005</v>
      </c>
      <c r="F9" s="6">
        <f>Assumptions!I12</f>
        <v>0.56000000000000005</v>
      </c>
    </row>
    <row r="10" spans="1:9" x14ac:dyDescent="0.3">
      <c r="A10" s="7" t="s">
        <v>11</v>
      </c>
      <c r="B10" s="8">
        <f>Assumptions!E15</f>
        <v>0.13500000000000001</v>
      </c>
      <c r="C10" s="8">
        <f>Assumptions!F15</f>
        <v>0.13200000000000001</v>
      </c>
      <c r="D10" s="8">
        <f>Assumptions!G15</f>
        <v>0.13</v>
      </c>
      <c r="E10" s="8">
        <f>Assumptions!H15</f>
        <v>0.128</v>
      </c>
      <c r="F10" s="8">
        <f>Assumptions!I15</f>
        <v>0.125</v>
      </c>
    </row>
    <row r="11" spans="1:9" x14ac:dyDescent="0.3">
      <c r="A11" s="5" t="s">
        <v>12</v>
      </c>
      <c r="B11" s="9">
        <f>Assumptions!E19</f>
        <v>125</v>
      </c>
      <c r="C11" s="9">
        <f>Assumptions!F19</f>
        <v>135</v>
      </c>
      <c r="D11" s="9">
        <f>Assumptions!G19</f>
        <v>145</v>
      </c>
      <c r="E11" s="9">
        <f>Assumptions!H19</f>
        <v>155</v>
      </c>
      <c r="F11" s="9">
        <f>Assumptions!I19</f>
        <v>165</v>
      </c>
    </row>
    <row r="12" spans="1:9" x14ac:dyDescent="0.3">
      <c r="A12" s="7" t="s">
        <v>13</v>
      </c>
      <c r="B12" s="10">
        <f>Assumptions!E20</f>
        <v>280</v>
      </c>
      <c r="C12" s="10">
        <f>Assumptions!F20</f>
        <v>295</v>
      </c>
      <c r="D12" s="10">
        <f>Assumptions!G20</f>
        <v>310</v>
      </c>
      <c r="E12" s="10">
        <f>Assumptions!H20</f>
        <v>320</v>
      </c>
      <c r="F12" s="10">
        <f>Assumptions!I20</f>
        <v>330</v>
      </c>
    </row>
    <row r="13" spans="1:9" x14ac:dyDescent="0.3">
      <c r="A13" s="5" t="s">
        <v>14</v>
      </c>
      <c r="B13" s="6">
        <f>Assumptions!E27</f>
        <v>0.24</v>
      </c>
      <c r="C13" s="6">
        <f>Assumptions!F27</f>
        <v>0.24</v>
      </c>
      <c r="D13" s="6">
        <f>Assumptions!G27</f>
        <v>0.24</v>
      </c>
      <c r="E13" s="6">
        <f>Assumptions!H27</f>
        <v>0.24</v>
      </c>
      <c r="F13" s="6">
        <f>Assumptions!I27</f>
        <v>0.24</v>
      </c>
    </row>
    <row r="14" spans="1:9" x14ac:dyDescent="0.3">
      <c r="A14" s="7" t="s">
        <v>15</v>
      </c>
      <c r="B14" s="10">
        <f>Assumptions!E36</f>
        <v>985</v>
      </c>
      <c r="C14" s="10">
        <f>Assumptions!F36</f>
        <v>963</v>
      </c>
      <c r="D14" s="10">
        <f>Assumptions!G36</f>
        <v>940</v>
      </c>
      <c r="E14" s="10">
        <f>Assumptions!H36</f>
        <v>916</v>
      </c>
      <c r="F14" s="10">
        <f>Assumptions!I36</f>
        <v>893</v>
      </c>
    </row>
    <row r="15" spans="1:9" x14ac:dyDescent="0.3">
      <c r="A15" s="5" t="s">
        <v>16</v>
      </c>
      <c r="B15" s="11">
        <f>Assumptions!E35</f>
        <v>500</v>
      </c>
      <c r="C15" s="11">
        <f>Assumptions!F35</f>
        <v>600</v>
      </c>
      <c r="D15" s="11">
        <f>Assumptions!G35</f>
        <v>700</v>
      </c>
      <c r="E15" s="11">
        <f>Assumptions!H35</f>
        <v>700</v>
      </c>
      <c r="F15" s="11">
        <f>Assumptions!I35</f>
        <v>700</v>
      </c>
    </row>
    <row r="16" spans="1:9" x14ac:dyDescent="0.3">
      <c r="A16" s="7" t="s">
        <v>17</v>
      </c>
      <c r="B16" s="8">
        <f>Assumptions!D40</f>
        <v>0.09</v>
      </c>
      <c r="C16" s="8" t="str">
        <f>Assumptions!E40</f>
        <v>—</v>
      </c>
      <c r="D16" s="8" t="str">
        <f>Assumptions!F40</f>
        <v>—</v>
      </c>
      <c r="E16" s="8" t="str">
        <f>Assumptions!G40</f>
        <v>—</v>
      </c>
      <c r="F16" s="8" t="str">
        <f>Assumptions!H40</f>
        <v>—</v>
      </c>
    </row>
    <row r="17" spans="1:9" x14ac:dyDescent="0.3">
      <c r="A17" s="5" t="s">
        <v>18</v>
      </c>
      <c r="B17" s="6">
        <f>Assumptions!D41</f>
        <v>0.04</v>
      </c>
      <c r="C17" s="6" t="str">
        <f>Assumptions!E41</f>
        <v>—</v>
      </c>
      <c r="D17" s="6" t="str">
        <f>Assumptions!F41</f>
        <v>—</v>
      </c>
      <c r="E17" s="6" t="str">
        <f>Assumptions!G41</f>
        <v>—</v>
      </c>
      <c r="F17" s="6" t="str">
        <f>Assumptions!H41</f>
        <v>—</v>
      </c>
    </row>
    <row r="20" spans="1:9" x14ac:dyDescent="0.3">
      <c r="A20" s="121" t="s">
        <v>19</v>
      </c>
      <c r="B20" s="121"/>
      <c r="C20" s="121"/>
      <c r="D20" s="121"/>
      <c r="E20" s="121"/>
      <c r="F20" s="121"/>
      <c r="G20" s="121"/>
      <c r="H20" s="121"/>
      <c r="I20" s="121"/>
    </row>
    <row r="21" spans="1:9" x14ac:dyDescent="0.3">
      <c r="A21" s="12"/>
      <c r="B21" s="4" t="s">
        <v>20</v>
      </c>
      <c r="C21" s="4" t="s">
        <v>21</v>
      </c>
      <c r="D21" s="4" t="s">
        <v>22</v>
      </c>
      <c r="E21" s="13" t="s">
        <v>3</v>
      </c>
      <c r="F21" s="13" t="s">
        <v>4</v>
      </c>
      <c r="G21" s="13" t="s">
        <v>5</v>
      </c>
      <c r="H21" s="13" t="s">
        <v>6</v>
      </c>
      <c r="I21" s="13" t="s">
        <v>7</v>
      </c>
    </row>
    <row r="22" spans="1:9" x14ac:dyDescent="0.3">
      <c r="A22" s="5" t="s">
        <v>23</v>
      </c>
      <c r="B22" s="11">
        <f>'Income Statement'!B10</f>
        <v>6311050</v>
      </c>
      <c r="C22" s="11">
        <f>'Income Statement'!C10</f>
        <v>7140027</v>
      </c>
      <c r="D22" s="11">
        <f>'Income Statement'!D10</f>
        <v>7492709</v>
      </c>
      <c r="E22" s="11">
        <f>'Income Statement'!E10</f>
        <v>0</v>
      </c>
      <c r="F22" s="11">
        <f>'Income Statement'!F10</f>
        <v>0</v>
      </c>
      <c r="G22" s="11">
        <f>'Income Statement'!G10</f>
        <v>0</v>
      </c>
      <c r="H22" s="11">
        <f>'Income Statement'!H10</f>
        <v>0</v>
      </c>
      <c r="I22" s="11">
        <f>'Income Statement'!I10</f>
        <v>0</v>
      </c>
    </row>
    <row r="23" spans="1:9" x14ac:dyDescent="0.3">
      <c r="A23" s="7" t="s">
        <v>24</v>
      </c>
      <c r="B23" s="14">
        <f>'Income Statement'!B15</f>
        <v>3174567</v>
      </c>
      <c r="C23" s="14">
        <f>'Income Statement'!C15</f>
        <v>3794206</v>
      </c>
      <c r="D23" s="14">
        <f>'Income Statement'!D15</f>
        <v>4048878</v>
      </c>
      <c r="E23" s="14">
        <f>'Income Statement'!E15</f>
        <v>0</v>
      </c>
      <c r="F23" s="14">
        <f>'Income Statement'!F15</f>
        <v>0</v>
      </c>
      <c r="G23" s="14">
        <f>'Income Statement'!G15</f>
        <v>0</v>
      </c>
      <c r="H23" s="14">
        <f>'Income Statement'!H15</f>
        <v>0</v>
      </c>
      <c r="I23" s="14">
        <f>'Income Statement'!I15</f>
        <v>0</v>
      </c>
    </row>
    <row r="24" spans="1:9" x14ac:dyDescent="0.3">
      <c r="A24" s="5" t="s">
        <v>25</v>
      </c>
      <c r="B24" s="6">
        <f>'Income Statement'!B16</f>
        <v>0.50301724752616439</v>
      </c>
      <c r="C24" s="6">
        <f>'Income Statement'!C16</f>
        <v>0.53139939106672851</v>
      </c>
      <c r="D24" s="6">
        <f>'Income Statement'!D16</f>
        <v>0.54037571724725997</v>
      </c>
      <c r="E24" s="6">
        <f>'Income Statement'!E16</f>
        <v>0</v>
      </c>
      <c r="F24" s="6">
        <f>'Income Statement'!F16</f>
        <v>0</v>
      </c>
      <c r="G24" s="6">
        <f>'Income Statement'!G16</f>
        <v>0</v>
      </c>
      <c r="H24" s="6">
        <f>'Income Statement'!H16</f>
        <v>0</v>
      </c>
      <c r="I24" s="6">
        <f>'Income Statement'!I16</f>
        <v>0</v>
      </c>
    </row>
    <row r="25" spans="1:9" x14ac:dyDescent="0.3">
      <c r="A25" s="7" t="s">
        <v>26</v>
      </c>
      <c r="B25" s="14">
        <f>'Income Statement'!B29</f>
        <v>1655217</v>
      </c>
      <c r="C25" s="14">
        <f>'Income Statement'!C29</f>
        <v>2038343</v>
      </c>
      <c r="D25" s="14">
        <f>'Income Statement'!D29</f>
        <v>2044015</v>
      </c>
      <c r="E25" s="14">
        <f>'Income Statement'!E29</f>
        <v>0</v>
      </c>
      <c r="F25" s="14">
        <f>'Income Statement'!F29</f>
        <v>0</v>
      </c>
      <c r="G25" s="14">
        <f>'Income Statement'!G29</f>
        <v>0</v>
      </c>
      <c r="H25" s="14">
        <f>'Income Statement'!H29</f>
        <v>0</v>
      </c>
      <c r="I25" s="14">
        <f>'Income Statement'!I29</f>
        <v>0</v>
      </c>
    </row>
    <row r="26" spans="1:9" x14ac:dyDescent="0.3">
      <c r="A26" s="5" t="s">
        <v>27</v>
      </c>
      <c r="B26" s="6">
        <f>'Income Statement'!B30</f>
        <v>0.26227283890953168</v>
      </c>
      <c r="C26" s="6">
        <f>'Income Statement'!C30</f>
        <v>0.28548113333464986</v>
      </c>
      <c r="D26" s="6">
        <f>'Income Statement'!D30</f>
        <v>0.2728005318236702</v>
      </c>
      <c r="E26" s="6">
        <f>'Income Statement'!E30</f>
        <v>0</v>
      </c>
      <c r="F26" s="6">
        <f>'Income Statement'!F30</f>
        <v>0</v>
      </c>
      <c r="G26" s="6">
        <f>'Income Statement'!G30</f>
        <v>0</v>
      </c>
      <c r="H26" s="6">
        <f>'Income Statement'!H30</f>
        <v>0</v>
      </c>
      <c r="I26" s="6">
        <f>'Income Statement'!I30</f>
        <v>0</v>
      </c>
    </row>
    <row r="27" spans="1:9" x14ac:dyDescent="0.3">
      <c r="A27" s="7" t="s">
        <v>28</v>
      </c>
      <c r="B27" s="14">
        <f>'Income Statement'!B26</f>
        <v>1585031</v>
      </c>
      <c r="C27" s="14">
        <f>'Income Statement'!C26</f>
        <v>1953836</v>
      </c>
      <c r="D27" s="14">
        <f>'Income Statement'!D26</f>
        <v>1930294</v>
      </c>
      <c r="E27" s="14">
        <f>'Income Statement'!E26</f>
        <v>0</v>
      </c>
      <c r="F27" s="14">
        <f>'Income Statement'!F26</f>
        <v>0</v>
      </c>
      <c r="G27" s="14">
        <f>'Income Statement'!G26</f>
        <v>0</v>
      </c>
      <c r="H27" s="14">
        <f>'Income Statement'!H26</f>
        <v>0</v>
      </c>
      <c r="I27" s="14">
        <f>'Income Statement'!I26</f>
        <v>0</v>
      </c>
    </row>
    <row r="28" spans="1:9" x14ac:dyDescent="0.3">
      <c r="A28" s="5" t="s">
        <v>29</v>
      </c>
      <c r="B28" s="6">
        <f>'Income Statement'!B27</f>
        <v>0.25115171009578435</v>
      </c>
      <c r="C28" s="6">
        <f>'Income Statement'!C27</f>
        <v>0.27364546380566906</v>
      </c>
      <c r="D28" s="6">
        <f>'Income Statement'!D27</f>
        <v>0.25762297721691846</v>
      </c>
      <c r="E28" s="6">
        <f>'Income Statement'!E27</f>
        <v>0</v>
      </c>
      <c r="F28" s="6">
        <f>'Income Statement'!F27</f>
        <v>0</v>
      </c>
      <c r="G28" s="6">
        <f>'Income Statement'!G27</f>
        <v>0</v>
      </c>
      <c r="H28" s="6">
        <f>'Income Statement'!H27</f>
        <v>0</v>
      </c>
      <c r="I28" s="6">
        <f>'Income Statement'!I27</f>
        <v>0</v>
      </c>
    </row>
    <row r="29" spans="1:9" x14ac:dyDescent="0.3">
      <c r="A29" s="7" t="s">
        <v>30</v>
      </c>
      <c r="B29" s="14">
        <f>'Income Statement'!B42</f>
        <v>1190866</v>
      </c>
      <c r="C29" s="14">
        <f>'Income Statement'!C42</f>
        <v>1516086</v>
      </c>
      <c r="D29" s="14">
        <f>'Income Statement'!D42</f>
        <v>1509048</v>
      </c>
      <c r="E29" s="14">
        <f>'Income Statement'!E42</f>
        <v>0</v>
      </c>
      <c r="F29" s="14">
        <f>'Income Statement'!F42</f>
        <v>0</v>
      </c>
      <c r="G29" s="14">
        <f>'Income Statement'!G42</f>
        <v>0</v>
      </c>
      <c r="H29" s="14">
        <f>'Income Statement'!H42</f>
        <v>0</v>
      </c>
      <c r="I29" s="14">
        <f>'Income Statement'!I42</f>
        <v>0</v>
      </c>
    </row>
    <row r="30" spans="1:9" x14ac:dyDescent="0.3">
      <c r="A30" s="5" t="s">
        <v>31</v>
      </c>
      <c r="B30" s="6">
        <f>'Income Statement'!B43</f>
        <v>0.18869538349403031</v>
      </c>
      <c r="C30" s="6">
        <f>'Income Statement'!C43</f>
        <v>0.21233617183800566</v>
      </c>
      <c r="D30" s="6">
        <f>'Income Statement'!D43</f>
        <v>0.20140218978209351</v>
      </c>
      <c r="E30" s="6">
        <f>'Income Statement'!E43</f>
        <v>0</v>
      </c>
      <c r="F30" s="6">
        <f>'Income Statement'!F43</f>
        <v>0</v>
      </c>
      <c r="G30" s="6">
        <f>'Income Statement'!G43</f>
        <v>0</v>
      </c>
      <c r="H30" s="6">
        <f>'Income Statement'!H43</f>
        <v>0</v>
      </c>
      <c r="I30" s="6">
        <f>'Income Statement'!I43</f>
        <v>0</v>
      </c>
    </row>
    <row r="31" spans="1:9" x14ac:dyDescent="0.3">
      <c r="A31" s="7" t="s">
        <v>32</v>
      </c>
      <c r="B31" s="15">
        <f>'Income Statement'!B46</f>
        <v>1.1170302973454647</v>
      </c>
      <c r="C31" s="15">
        <f>'Income Statement'!C46</f>
        <v>1.4329735349716446</v>
      </c>
      <c r="D31" s="15">
        <f>'Income Statement'!D46</f>
        <v>1.4895350903168492</v>
      </c>
      <c r="E31" s="15">
        <f>'Income Statement'!E46</f>
        <v>0</v>
      </c>
      <c r="F31" s="15">
        <f>'Income Statement'!F46</f>
        <v>0</v>
      </c>
      <c r="G31" s="15">
        <f>'Income Statement'!G46</f>
        <v>0</v>
      </c>
      <c r="H31" s="15">
        <f>'Income Statement'!H46</f>
        <v>0</v>
      </c>
      <c r="I31" s="15">
        <f>'Income Statement'!I46</f>
        <v>0</v>
      </c>
    </row>
    <row r="32" spans="1:9" x14ac:dyDescent="0.3">
      <c r="A32" s="5" t="s">
        <v>33</v>
      </c>
      <c r="B32" s="6">
        <f>'Income Statement'!B47</f>
        <v>0</v>
      </c>
      <c r="C32" s="6">
        <f>'Income Statement'!C47</f>
        <v>0.28284213810224701</v>
      </c>
      <c r="D32" s="6">
        <f>'Income Statement'!D47</f>
        <v>3.9471458449735992E-2</v>
      </c>
      <c r="E32" s="6">
        <f>'Income Statement'!E47</f>
        <v>0</v>
      </c>
      <c r="F32" s="6">
        <f>'Income Statement'!F47</f>
        <v>0</v>
      </c>
      <c r="G32" s="6">
        <f>'Income Statement'!G47</f>
        <v>0</v>
      </c>
      <c r="H32" s="6">
        <f>'Income Statement'!H47</f>
        <v>0</v>
      </c>
      <c r="I32" s="6">
        <f>'Income Statement'!I47</f>
        <v>0</v>
      </c>
    </row>
    <row r="35" spans="1:9" x14ac:dyDescent="0.3">
      <c r="A35" s="120" t="s">
        <v>34</v>
      </c>
      <c r="B35" s="120"/>
      <c r="C35" s="120"/>
      <c r="D35" s="120"/>
      <c r="E35" s="120"/>
      <c r="F35" s="120"/>
      <c r="G35" s="120"/>
      <c r="H35" s="120"/>
      <c r="I35" s="120"/>
    </row>
    <row r="36" spans="1:9" x14ac:dyDescent="0.3">
      <c r="A36" s="3" t="s">
        <v>35</v>
      </c>
      <c r="B36" s="4" t="s">
        <v>36</v>
      </c>
      <c r="C36" s="4" t="s">
        <v>37</v>
      </c>
    </row>
    <row r="37" spans="1:9" x14ac:dyDescent="0.3">
      <c r="A37" s="5" t="s">
        <v>38</v>
      </c>
      <c r="B37" s="16">
        <f>'DCF Valuation'!B26</f>
        <v>0</v>
      </c>
      <c r="C37" s="6" t="e">
        <f>('DCF Valuation'!B26-#REF!)/#REF!</f>
        <v>#REF!</v>
      </c>
      <c r="D37" s="17" t="s">
        <v>39</v>
      </c>
    </row>
    <row r="38" spans="1:9" x14ac:dyDescent="0.3">
      <c r="A38" s="7" t="s">
        <v>40</v>
      </c>
      <c r="B38" s="15">
        <f>'DCF Valuation'!B37</f>
        <v>0</v>
      </c>
      <c r="C38" s="8" t="e">
        <f>('DCF Valuation'!B37-#REF!)/#REF!</f>
        <v>#REF!</v>
      </c>
      <c r="D38" s="2" t="s">
        <v>41</v>
      </c>
    </row>
    <row r="39" spans="1:9" x14ac:dyDescent="0.3">
      <c r="A39" s="5" t="s">
        <v>42</v>
      </c>
      <c r="B39" s="16">
        <f>'DCF Valuation'!B42</f>
        <v>0</v>
      </c>
      <c r="C39" s="6" t="e">
        <f>('DCF Valuation'!B42-#REF!)/#REF!</f>
        <v>#REF!</v>
      </c>
      <c r="D39" s="17" t="s">
        <v>43</v>
      </c>
    </row>
    <row r="41" spans="1:9" x14ac:dyDescent="0.3">
      <c r="A41" s="117" t="s">
        <v>44</v>
      </c>
      <c r="B41" s="117"/>
      <c r="C41" s="117"/>
      <c r="D41" s="117"/>
      <c r="E41" s="117"/>
      <c r="F41" s="117"/>
      <c r="G41" s="117"/>
      <c r="H41" s="117"/>
      <c r="I41" s="117"/>
    </row>
    <row r="42" spans="1:9" x14ac:dyDescent="0.3">
      <c r="A42" s="117" t="s">
        <v>45</v>
      </c>
      <c r="B42" s="117"/>
      <c r="C42" s="117"/>
      <c r="D42" s="117"/>
      <c r="E42" s="117"/>
      <c r="F42" s="117"/>
      <c r="G42" s="117"/>
      <c r="H42" s="117"/>
      <c r="I42" s="117"/>
    </row>
  </sheetData>
  <mergeCells count="7">
    <mergeCell ref="A41:I41"/>
    <mergeCell ref="A42:I42"/>
    <mergeCell ref="A1:I2"/>
    <mergeCell ref="A3:I3"/>
    <mergeCell ref="A5:I5"/>
    <mergeCell ref="A20:I20"/>
    <mergeCell ref="A35:I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9FEA-AC94-49F1-89C0-0C47AC61A194}">
  <sheetPr>
    <tabColor rgb="FFFFFF00"/>
  </sheetPr>
  <dimension ref="A1:J226"/>
  <sheetViews>
    <sheetView showGridLines="0" tabSelected="1" topLeftCell="A141" zoomScale="121" zoomScaleNormal="85" workbookViewId="0">
      <selection activeCell="E156" sqref="E156"/>
    </sheetView>
  </sheetViews>
  <sheetFormatPr defaultColWidth="8.6640625" defaultRowHeight="15.6" x14ac:dyDescent="0.3"/>
  <cols>
    <col min="1" max="1" width="44" style="65" customWidth="1"/>
    <col min="2" max="2" width="13.77734375" style="65" customWidth="1"/>
    <col min="3" max="4" width="13.88671875" style="65" customWidth="1"/>
    <col min="5" max="7" width="13" style="65" customWidth="1"/>
    <col min="8" max="8" width="11.77734375" style="65" customWidth="1"/>
    <col min="9" max="9" width="11.109375" style="65" bestFit="1" customWidth="1"/>
    <col min="10" max="16384" width="8.6640625" style="65"/>
  </cols>
  <sheetData>
    <row r="1" spans="1:10" ht="25.5" customHeight="1" x14ac:dyDescent="0.3">
      <c r="A1" s="114" t="s">
        <v>46</v>
      </c>
      <c r="B1" s="114"/>
      <c r="C1" s="114"/>
      <c r="D1" s="114"/>
      <c r="E1" s="114"/>
      <c r="F1" s="114"/>
      <c r="G1" s="114"/>
      <c r="H1" s="114"/>
      <c r="I1" s="114"/>
    </row>
    <row r="2" spans="1:10" ht="18" customHeight="1" x14ac:dyDescent="0.3">
      <c r="A2" s="115" t="s">
        <v>47</v>
      </c>
      <c r="B2" s="115"/>
      <c r="C2" s="115"/>
      <c r="D2" s="115"/>
      <c r="E2" s="115"/>
      <c r="F2" s="115"/>
      <c r="G2" s="115"/>
      <c r="H2" s="115"/>
      <c r="I2" s="115"/>
    </row>
    <row r="4" spans="1:10" ht="21.75" customHeight="1" x14ac:dyDescent="0.3">
      <c r="A4" s="66" t="s">
        <v>48</v>
      </c>
      <c r="B4" s="64" t="s">
        <v>267</v>
      </c>
      <c r="C4" s="64" t="s">
        <v>268</v>
      </c>
      <c r="D4" s="64" t="s">
        <v>49</v>
      </c>
      <c r="E4" s="67" t="s">
        <v>3</v>
      </c>
      <c r="F4" s="67" t="s">
        <v>4</v>
      </c>
      <c r="G4" s="67" t="s">
        <v>5</v>
      </c>
      <c r="H4" s="67" t="s">
        <v>6</v>
      </c>
      <c r="I4" s="67" t="s">
        <v>7</v>
      </c>
    </row>
    <row r="5" spans="1:10" ht="15" customHeight="1" x14ac:dyDescent="0.3">
      <c r="A5" s="116" t="s">
        <v>51</v>
      </c>
      <c r="B5" s="116"/>
      <c r="C5" s="116"/>
      <c r="D5" s="116"/>
      <c r="E5" s="116"/>
      <c r="F5" s="116"/>
      <c r="G5" s="116"/>
      <c r="H5" s="116"/>
    </row>
    <row r="6" spans="1:10" ht="15" customHeight="1" x14ac:dyDescent="0.3">
      <c r="A6" s="69" t="s">
        <v>52</v>
      </c>
      <c r="B6" s="70">
        <v>0.25700000000000001</v>
      </c>
      <c r="C6" s="70">
        <v>0.129</v>
      </c>
      <c r="D6" s="70">
        <v>4.9000000000000002E-2</v>
      </c>
      <c r="E6" s="104">
        <v>0.11700000000000001</v>
      </c>
      <c r="F6" s="104">
        <v>0.112</v>
      </c>
      <c r="G6" s="104">
        <v>0.107</v>
      </c>
      <c r="H6" s="104">
        <v>0.10199999999999999</v>
      </c>
      <c r="I6" s="104">
        <v>0.105</v>
      </c>
      <c r="J6" s="72"/>
    </row>
    <row r="7" spans="1:10" ht="15" customHeight="1" x14ac:dyDescent="0.3">
      <c r="A7" s="69" t="s">
        <v>54</v>
      </c>
      <c r="B7" s="70">
        <v>-9.9000000000000005E-2</v>
      </c>
      <c r="C7" s="70">
        <v>-1.7999999999999999E-2</v>
      </c>
      <c r="D7" s="70">
        <v>0.14799999999999999</v>
      </c>
      <c r="E7" s="104">
        <v>8.4000000000000005E-2</v>
      </c>
      <c r="F7" s="104">
        <v>0.08</v>
      </c>
      <c r="G7" s="104">
        <v>0.08</v>
      </c>
      <c r="H7" s="104">
        <v>0.08</v>
      </c>
      <c r="I7" s="104">
        <v>0.08</v>
      </c>
      <c r="J7" s="72"/>
    </row>
    <row r="8" spans="1:10" ht="15" customHeight="1" x14ac:dyDescent="0.3">
      <c r="A8" s="69" t="s">
        <v>56</v>
      </c>
      <c r="B8" s="73" t="s">
        <v>269</v>
      </c>
      <c r="C8" s="70">
        <v>0.82299999999999995</v>
      </c>
      <c r="D8" s="70">
        <v>-6.8000000000000005E-2</v>
      </c>
      <c r="E8" s="71">
        <v>-0.218</v>
      </c>
      <c r="F8" s="71">
        <v>-0.2</v>
      </c>
      <c r="G8" s="71">
        <v>-0.2</v>
      </c>
      <c r="H8" s="71">
        <v>-0.2</v>
      </c>
      <c r="I8" s="71">
        <v>-0.2</v>
      </c>
      <c r="J8" s="72"/>
    </row>
    <row r="9" spans="1:10" ht="15" customHeight="1" x14ac:dyDescent="0.3">
      <c r="A9" s="69" t="s">
        <v>58</v>
      </c>
      <c r="B9" s="73" t="s">
        <v>269</v>
      </c>
      <c r="C9" s="70">
        <v>0.23699999999999999</v>
      </c>
      <c r="D9" s="70">
        <v>2E-3</v>
      </c>
      <c r="E9" s="71">
        <v>0.03</v>
      </c>
      <c r="F9" s="71">
        <v>0.03</v>
      </c>
      <c r="G9" s="71">
        <v>0.03</v>
      </c>
      <c r="H9" s="71">
        <v>0.03</v>
      </c>
      <c r="I9" s="71">
        <v>0.03</v>
      </c>
      <c r="J9" s="72"/>
    </row>
    <row r="10" spans="1:10" ht="7.5" customHeight="1" x14ac:dyDescent="0.3"/>
    <row r="11" spans="1:10" ht="15" customHeight="1" x14ac:dyDescent="0.3">
      <c r="A11" s="116" t="s">
        <v>60</v>
      </c>
      <c r="B11" s="116"/>
      <c r="C11" s="116"/>
      <c r="D11" s="116"/>
      <c r="E11" s="116"/>
      <c r="F11" s="116"/>
      <c r="G11" s="116"/>
      <c r="H11" s="116"/>
    </row>
    <row r="12" spans="1:10" ht="15" customHeight="1" x14ac:dyDescent="0.3">
      <c r="A12" s="69" t="s">
        <v>10</v>
      </c>
      <c r="B12" s="70">
        <v>0.503</v>
      </c>
      <c r="C12" s="70">
        <v>0.53100000000000003</v>
      </c>
      <c r="D12" s="70">
        <v>0.54</v>
      </c>
      <c r="E12" s="71">
        <v>0.54500000000000004</v>
      </c>
      <c r="F12" s="71">
        <v>0.55000000000000004</v>
      </c>
      <c r="G12" s="71">
        <v>0.55500000000000005</v>
      </c>
      <c r="H12" s="71">
        <v>0.55800000000000005</v>
      </c>
      <c r="I12" s="71">
        <v>0.56000000000000005</v>
      </c>
      <c r="J12" s="72"/>
    </row>
    <row r="13" spans="1:10" ht="15" customHeight="1" x14ac:dyDescent="0.3">
      <c r="A13" s="69" t="s">
        <v>62</v>
      </c>
      <c r="B13" s="70">
        <v>3.5999999999999997E-2</v>
      </c>
      <c r="C13" s="70">
        <v>3.7999999999999999E-2</v>
      </c>
      <c r="D13" s="70">
        <v>3.9E-2</v>
      </c>
      <c r="E13" s="71">
        <v>3.9E-2</v>
      </c>
      <c r="F13" s="71">
        <v>3.7999999999999999E-2</v>
      </c>
      <c r="G13" s="71">
        <v>3.7999999999999999E-2</v>
      </c>
      <c r="H13" s="71">
        <v>3.6999999999999998E-2</v>
      </c>
      <c r="I13" s="71">
        <v>3.6999999999999998E-2</v>
      </c>
      <c r="J13" s="72"/>
    </row>
    <row r="14" spans="1:10" ht="15" customHeight="1" x14ac:dyDescent="0.3">
      <c r="A14" s="69" t="s">
        <v>64</v>
      </c>
      <c r="B14" s="70">
        <v>7.5999999999999998E-2</v>
      </c>
      <c r="C14" s="70">
        <v>8.4000000000000005E-2</v>
      </c>
      <c r="D14" s="70">
        <v>0.09</v>
      </c>
      <c r="E14" s="71">
        <v>9.0999999999999998E-2</v>
      </c>
      <c r="F14" s="71">
        <v>9.1999999999999998E-2</v>
      </c>
      <c r="G14" s="71">
        <v>0.09</v>
      </c>
      <c r="H14" s="71">
        <v>0.09</v>
      </c>
      <c r="I14" s="71">
        <v>0.09</v>
      </c>
      <c r="J14" s="72"/>
    </row>
    <row r="15" spans="1:10" ht="15" customHeight="1" x14ac:dyDescent="0.3">
      <c r="A15" s="69" t="s">
        <v>66</v>
      </c>
      <c r="B15" s="70">
        <v>0.11799999999999999</v>
      </c>
      <c r="C15" s="70">
        <v>0.13</v>
      </c>
      <c r="D15" s="70">
        <v>0.154</v>
      </c>
      <c r="E15" s="71">
        <v>0.13500000000000001</v>
      </c>
      <c r="F15" s="71">
        <v>0.13200000000000001</v>
      </c>
      <c r="G15" s="71">
        <v>0.13</v>
      </c>
      <c r="H15" s="71">
        <v>0.128</v>
      </c>
      <c r="I15" s="71">
        <v>0.125</v>
      </c>
      <c r="J15" s="72"/>
    </row>
    <row r="16" spans="1:10" ht="15" customHeight="1" x14ac:dyDescent="0.3">
      <c r="A16" s="69" t="s">
        <v>68</v>
      </c>
      <c r="B16" s="74">
        <v>138.19999999999999</v>
      </c>
      <c r="C16" s="74">
        <v>42.7</v>
      </c>
      <c r="D16" s="75">
        <v>138.80000000000001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2"/>
    </row>
    <row r="17" spans="1:10" ht="7.5" customHeight="1" x14ac:dyDescent="0.3"/>
    <row r="18" spans="1:10" ht="15" customHeight="1" x14ac:dyDescent="0.3">
      <c r="A18" s="116" t="s">
        <v>70</v>
      </c>
      <c r="B18" s="116"/>
      <c r="C18" s="116"/>
      <c r="D18" s="116"/>
      <c r="E18" s="116"/>
      <c r="F18" s="116"/>
      <c r="G18" s="116"/>
      <c r="H18" s="116"/>
    </row>
    <row r="19" spans="1:10" ht="15" customHeight="1" x14ac:dyDescent="0.3">
      <c r="A19" s="69" t="s">
        <v>271</v>
      </c>
      <c r="B19" s="77">
        <f>B82/B116</f>
        <v>0.140372</v>
      </c>
      <c r="C19" s="77">
        <f>C82/C116</f>
        <v>9.4866838198644804E-2</v>
      </c>
      <c r="D19" s="77">
        <f>D82/D116</f>
        <v>0.10861355613624903</v>
      </c>
      <c r="E19" s="78">
        <v>0.1</v>
      </c>
      <c r="F19" s="78">
        <v>0.1</v>
      </c>
      <c r="G19" s="78">
        <v>0.1</v>
      </c>
      <c r="H19" s="78">
        <v>0.1</v>
      </c>
      <c r="I19" s="78">
        <v>0.1</v>
      </c>
      <c r="J19" s="72"/>
    </row>
    <row r="20" spans="1:10" ht="15" customHeight="1" x14ac:dyDescent="0.3">
      <c r="A20" s="69" t="s">
        <v>73</v>
      </c>
      <c r="B20" s="74">
        <v>127</v>
      </c>
      <c r="C20" s="74">
        <v>221.3</v>
      </c>
      <c r="D20" s="74">
        <v>264.10000000000002</v>
      </c>
      <c r="E20" s="79">
        <v>280</v>
      </c>
      <c r="F20" s="79">
        <v>295</v>
      </c>
      <c r="G20" s="79">
        <v>310</v>
      </c>
      <c r="H20" s="79">
        <v>320</v>
      </c>
      <c r="I20" s="79">
        <v>330</v>
      </c>
      <c r="J20" s="72"/>
    </row>
    <row r="21" spans="1:10" ht="15" customHeight="1" x14ac:dyDescent="0.3">
      <c r="A21" s="69" t="s">
        <v>272</v>
      </c>
      <c r="B21" s="62">
        <f>B146/B75</f>
        <v>8.2920242799352645E-2</v>
      </c>
      <c r="C21" s="62">
        <f>C146/C75</f>
        <v>7.3352688172043004E-2</v>
      </c>
      <c r="D21" s="62">
        <f>D146/D75</f>
        <v>8.1208804875015542E-2</v>
      </c>
      <c r="E21" s="63">
        <v>0.08</v>
      </c>
      <c r="F21" s="63">
        <v>0.08</v>
      </c>
      <c r="G21" s="63">
        <v>0.08</v>
      </c>
      <c r="H21" s="63">
        <v>0.08</v>
      </c>
      <c r="I21" s="63">
        <v>0.08</v>
      </c>
      <c r="J21" s="72"/>
    </row>
    <row r="22" spans="1:10" ht="7.5" customHeight="1" x14ac:dyDescent="0.3"/>
    <row r="23" spans="1:10" ht="15" customHeight="1" x14ac:dyDescent="0.3">
      <c r="A23" s="116" t="s">
        <v>77</v>
      </c>
      <c r="B23" s="116"/>
      <c r="C23" s="116"/>
      <c r="D23" s="116"/>
      <c r="E23" s="116"/>
      <c r="F23" s="116"/>
      <c r="G23" s="116"/>
      <c r="H23" s="116"/>
    </row>
    <row r="24" spans="1:10" ht="15" customHeight="1" x14ac:dyDescent="0.3">
      <c r="A24" s="69" t="s">
        <v>78</v>
      </c>
      <c r="B24" s="74">
        <v>7.2</v>
      </c>
      <c r="C24" s="74">
        <v>130</v>
      </c>
      <c r="D24" s="74">
        <v>115</v>
      </c>
      <c r="E24" s="79">
        <v>75</v>
      </c>
      <c r="F24" s="79">
        <v>80</v>
      </c>
      <c r="G24" s="79">
        <v>85</v>
      </c>
      <c r="H24" s="79">
        <v>90</v>
      </c>
      <c r="I24" s="79">
        <v>95</v>
      </c>
      <c r="J24" s="72"/>
    </row>
    <row r="25" spans="1:10" ht="15" customHeight="1" x14ac:dyDescent="0.3">
      <c r="A25" s="69" t="s">
        <v>80</v>
      </c>
      <c r="B25" s="74">
        <v>1.3</v>
      </c>
      <c r="C25" s="74">
        <v>0.4</v>
      </c>
      <c r="D25" s="74">
        <v>27.9</v>
      </c>
      <c r="E25" s="79">
        <v>48</v>
      </c>
      <c r="F25" s="79">
        <v>46</v>
      </c>
      <c r="G25" s="79">
        <v>44</v>
      </c>
      <c r="H25" s="79">
        <v>25</v>
      </c>
      <c r="I25" s="79">
        <v>25</v>
      </c>
      <c r="J25" s="72"/>
    </row>
    <row r="26" spans="1:10" ht="15" customHeight="1" x14ac:dyDescent="0.3">
      <c r="A26" s="69" t="s">
        <v>82</v>
      </c>
      <c r="B26" s="74">
        <v>-19.8</v>
      </c>
      <c r="C26" s="74">
        <v>-129.9</v>
      </c>
      <c r="D26" s="74">
        <v>-27.9</v>
      </c>
      <c r="E26" s="79">
        <v>-30</v>
      </c>
      <c r="F26" s="79">
        <v>-30</v>
      </c>
      <c r="G26" s="79">
        <v>-30</v>
      </c>
      <c r="H26" s="79">
        <v>-30</v>
      </c>
      <c r="I26" s="79">
        <v>-30</v>
      </c>
      <c r="J26" s="72"/>
    </row>
    <row r="27" spans="1:10" ht="15" customHeight="1" x14ac:dyDescent="0.3">
      <c r="A27" s="69" t="s">
        <v>14</v>
      </c>
      <c r="B27" s="70">
        <v>0.24199999999999999</v>
      </c>
      <c r="C27" s="70">
        <v>0.21099999999999999</v>
      </c>
      <c r="D27" s="70">
        <v>0.24099999999999999</v>
      </c>
      <c r="E27" s="71">
        <v>0.24</v>
      </c>
      <c r="F27" s="71">
        <v>0.24</v>
      </c>
      <c r="G27" s="71">
        <v>0.24</v>
      </c>
      <c r="H27" s="71">
        <v>0.24</v>
      </c>
      <c r="I27" s="71">
        <v>0.24</v>
      </c>
      <c r="J27" s="72"/>
    </row>
    <row r="28" spans="1:10" ht="7.5" customHeight="1" x14ac:dyDescent="0.3"/>
    <row r="29" spans="1:10" ht="15" customHeight="1" x14ac:dyDescent="0.3">
      <c r="A29" s="116" t="s">
        <v>85</v>
      </c>
      <c r="B29" s="116"/>
      <c r="C29" s="116"/>
      <c r="D29" s="116"/>
      <c r="E29" s="116"/>
      <c r="F29" s="116"/>
      <c r="G29" s="116"/>
      <c r="H29" s="116"/>
    </row>
    <row r="30" spans="1:10" ht="15" customHeight="1" x14ac:dyDescent="0.3">
      <c r="A30" s="69" t="s">
        <v>86</v>
      </c>
      <c r="B30" s="74">
        <v>61.7</v>
      </c>
      <c r="C30" s="74">
        <v>61</v>
      </c>
      <c r="D30" s="74">
        <v>59.5</v>
      </c>
      <c r="E30" s="79">
        <v>58</v>
      </c>
      <c r="F30" s="79">
        <v>57</v>
      </c>
      <c r="G30" s="79">
        <v>57</v>
      </c>
      <c r="H30" s="79">
        <v>56</v>
      </c>
      <c r="I30" s="79">
        <v>56</v>
      </c>
      <c r="J30" s="72"/>
    </row>
    <row r="31" spans="1:10" ht="15" customHeight="1" x14ac:dyDescent="0.3">
      <c r="A31" s="69" t="s">
        <v>88</v>
      </c>
      <c r="B31" s="74">
        <v>97.2</v>
      </c>
      <c r="C31" s="74">
        <v>106</v>
      </c>
      <c r="D31" s="74">
        <v>78.099999999999994</v>
      </c>
      <c r="E31" s="79">
        <v>82</v>
      </c>
      <c r="F31" s="79">
        <v>78</v>
      </c>
      <c r="G31" s="79">
        <v>75</v>
      </c>
      <c r="H31" s="79">
        <v>73</v>
      </c>
      <c r="I31" s="79">
        <v>72</v>
      </c>
      <c r="J31" s="72"/>
    </row>
    <row r="32" spans="1:10" ht="15" customHeight="1" x14ac:dyDescent="0.3">
      <c r="A32" s="69" t="s">
        <v>90</v>
      </c>
      <c r="B32" s="74">
        <v>54.7</v>
      </c>
      <c r="C32" s="74">
        <v>61.5</v>
      </c>
      <c r="D32" s="74">
        <v>49.5</v>
      </c>
      <c r="E32" s="79">
        <v>52</v>
      </c>
      <c r="F32" s="79">
        <v>52</v>
      </c>
      <c r="G32" s="79">
        <v>52</v>
      </c>
      <c r="H32" s="79">
        <v>52</v>
      </c>
      <c r="I32" s="79">
        <v>52</v>
      </c>
      <c r="J32" s="72"/>
    </row>
    <row r="33" spans="1:9" ht="15" customHeight="1" x14ac:dyDescent="0.3">
      <c r="A33" s="65" t="s">
        <v>273</v>
      </c>
      <c r="B33" s="107">
        <f>B124/B64</f>
        <v>9.8240387891079931E-2</v>
      </c>
      <c r="C33" s="107">
        <f>C124/C64</f>
        <v>8.2813412330233482E-2</v>
      </c>
      <c r="D33" s="107">
        <f>D124/D64</f>
        <v>8.3405614711581616E-2</v>
      </c>
      <c r="E33" s="106">
        <v>8.5000000000000006E-2</v>
      </c>
      <c r="F33" s="106">
        <v>8.5000000000000006E-2</v>
      </c>
      <c r="G33" s="106">
        <v>8.5000000000000006E-2</v>
      </c>
      <c r="H33" s="106">
        <v>8.5000000000000006E-2</v>
      </c>
      <c r="I33" s="106">
        <v>8.5000000000000006E-2</v>
      </c>
    </row>
    <row r="34" spans="1:9" ht="15" customHeight="1" x14ac:dyDescent="0.3">
      <c r="A34" s="65" t="s">
        <v>274</v>
      </c>
      <c r="B34" s="108">
        <f>B109/1000</f>
        <v>516</v>
      </c>
      <c r="C34" s="108">
        <f t="shared" ref="C34:D34" si="0">C109/1000</f>
        <v>955.60500000000002</v>
      </c>
      <c r="D34" s="108">
        <f t="shared" si="0"/>
        <v>0</v>
      </c>
      <c r="E34" s="109">
        <v>500</v>
      </c>
      <c r="F34" s="109">
        <v>500</v>
      </c>
      <c r="G34" s="109">
        <v>500</v>
      </c>
      <c r="H34" s="109">
        <v>500</v>
      </c>
      <c r="I34" s="109">
        <v>500</v>
      </c>
    </row>
    <row r="35" spans="1:9" ht="15" customHeight="1" x14ac:dyDescent="0.3">
      <c r="A35" s="65" t="s">
        <v>164</v>
      </c>
      <c r="B35" s="108">
        <f>B117</f>
        <v>1375000</v>
      </c>
      <c r="C35" s="108">
        <f>C117</f>
        <v>1417941</v>
      </c>
      <c r="D35" s="108">
        <f>D117</f>
        <v>1331643</v>
      </c>
      <c r="E35" s="110">
        <v>1350000</v>
      </c>
      <c r="F35" s="110">
        <v>1350000</v>
      </c>
      <c r="G35" s="110">
        <v>1350000</v>
      </c>
      <c r="H35" s="110">
        <v>1350000</v>
      </c>
      <c r="I35" s="110">
        <v>1350000</v>
      </c>
    </row>
    <row r="36" spans="1:9" ht="15" customHeight="1" x14ac:dyDescent="0.3">
      <c r="A36" s="65" t="s">
        <v>275</v>
      </c>
      <c r="B36" s="65" t="s">
        <v>276</v>
      </c>
      <c r="C36" s="105">
        <f>(C112-B112)/B112</f>
        <v>-0.17707246376811595</v>
      </c>
      <c r="D36" s="105">
        <f>(D112-C112)/C112</f>
        <v>-0.12258579596820589</v>
      </c>
      <c r="E36" s="111">
        <v>-0.1</v>
      </c>
      <c r="F36" s="111">
        <v>-0.1</v>
      </c>
      <c r="G36" s="111">
        <v>-0.1</v>
      </c>
      <c r="H36" s="111">
        <v>-0.1</v>
      </c>
      <c r="I36" s="111">
        <v>-0.1</v>
      </c>
    </row>
    <row r="37" spans="1:9" ht="15" customHeight="1" x14ac:dyDescent="0.3">
      <c r="A37" s="116" t="s">
        <v>92</v>
      </c>
      <c r="B37" s="116"/>
      <c r="C37" s="116"/>
      <c r="D37" s="116"/>
      <c r="E37" s="116"/>
      <c r="F37" s="116"/>
      <c r="G37" s="116"/>
      <c r="H37" s="116"/>
    </row>
    <row r="38" spans="1:9" ht="13.2" customHeight="1" x14ac:dyDescent="0.3">
      <c r="A38" s="69" t="s">
        <v>93</v>
      </c>
      <c r="B38" s="75">
        <v>193</v>
      </c>
      <c r="C38" s="75">
        <v>573.79999999999995</v>
      </c>
      <c r="D38" s="75">
        <v>762.1</v>
      </c>
      <c r="E38" s="76">
        <v>500</v>
      </c>
      <c r="F38" s="76">
        <v>600</v>
      </c>
      <c r="G38" s="76">
        <v>700</v>
      </c>
      <c r="H38" s="76">
        <v>700</v>
      </c>
      <c r="I38" s="76">
        <v>700</v>
      </c>
    </row>
    <row r="39" spans="1:9" ht="15" customHeight="1" x14ac:dyDescent="0.3">
      <c r="A39" s="69" t="s">
        <v>95</v>
      </c>
      <c r="B39" s="74">
        <v>1066.0999999999999</v>
      </c>
      <c r="C39" s="74">
        <v>1058</v>
      </c>
      <c r="D39" s="74">
        <v>1013.1</v>
      </c>
      <c r="E39" s="79">
        <v>985</v>
      </c>
      <c r="F39" s="79">
        <v>963</v>
      </c>
      <c r="G39" s="79">
        <v>940</v>
      </c>
      <c r="H39" s="79">
        <v>916</v>
      </c>
      <c r="I39" s="79">
        <v>893</v>
      </c>
    </row>
    <row r="40" spans="1:9" ht="15" customHeight="1" x14ac:dyDescent="0.3">
      <c r="A40" s="69" t="s">
        <v>97</v>
      </c>
      <c r="B40" s="75">
        <v>0</v>
      </c>
      <c r="C40" s="75">
        <v>0</v>
      </c>
      <c r="D40" s="75">
        <v>374</v>
      </c>
      <c r="E40" s="76">
        <v>374</v>
      </c>
      <c r="F40" s="76">
        <v>324</v>
      </c>
      <c r="G40" s="76">
        <v>274</v>
      </c>
      <c r="H40" s="76">
        <v>224</v>
      </c>
      <c r="I40" s="76">
        <v>174</v>
      </c>
    </row>
    <row r="41" spans="1:9" ht="15" customHeight="1" x14ac:dyDescent="0.3">
      <c r="A41" s="116" t="s">
        <v>99</v>
      </c>
      <c r="B41" s="116"/>
      <c r="C41" s="116"/>
      <c r="D41" s="116"/>
      <c r="E41" s="116"/>
      <c r="F41" s="116"/>
      <c r="G41" s="116"/>
      <c r="H41" s="116"/>
    </row>
    <row r="42" spans="1:9" ht="15" customHeight="1" x14ac:dyDescent="0.3">
      <c r="A42" s="69" t="s">
        <v>17</v>
      </c>
      <c r="B42" s="80" t="s">
        <v>100</v>
      </c>
      <c r="C42" s="80" t="s">
        <v>100</v>
      </c>
      <c r="D42" s="81">
        <v>7.0000000000000007E-2</v>
      </c>
      <c r="E42" s="82" t="s">
        <v>100</v>
      </c>
      <c r="F42" s="82" t="s">
        <v>100</v>
      </c>
      <c r="G42" s="82" t="s">
        <v>100</v>
      </c>
      <c r="H42" s="82" t="s">
        <v>100</v>
      </c>
      <c r="I42" s="82" t="s">
        <v>100</v>
      </c>
    </row>
    <row r="43" spans="1:9" ht="15" customHeight="1" x14ac:dyDescent="0.3">
      <c r="A43" s="69" t="s">
        <v>18</v>
      </c>
      <c r="B43" s="80" t="s">
        <v>100</v>
      </c>
      <c r="C43" s="80" t="s">
        <v>100</v>
      </c>
      <c r="D43" s="81">
        <v>0.05</v>
      </c>
      <c r="E43" s="82" t="s">
        <v>100</v>
      </c>
      <c r="F43" s="82" t="s">
        <v>100</v>
      </c>
      <c r="G43" s="82" t="s">
        <v>100</v>
      </c>
      <c r="H43" s="82" t="s">
        <v>100</v>
      </c>
      <c r="I43" s="82" t="s">
        <v>100</v>
      </c>
    </row>
    <row r="44" spans="1:9" ht="15" customHeight="1" x14ac:dyDescent="0.3">
      <c r="A44" s="69" t="s">
        <v>103</v>
      </c>
      <c r="B44" s="80" t="s">
        <v>100</v>
      </c>
      <c r="C44" s="80" t="s">
        <v>100</v>
      </c>
      <c r="D44" s="83">
        <v>20</v>
      </c>
      <c r="E44" s="82" t="s">
        <v>100</v>
      </c>
      <c r="F44" s="82" t="s">
        <v>100</v>
      </c>
      <c r="G44" s="82" t="s">
        <v>100</v>
      </c>
      <c r="H44" s="82" t="s">
        <v>100</v>
      </c>
      <c r="I44" s="82" t="s">
        <v>100</v>
      </c>
    </row>
    <row r="45" spans="1:9" ht="15" customHeight="1" x14ac:dyDescent="0.3">
      <c r="A45" s="69" t="s">
        <v>105</v>
      </c>
      <c r="B45" s="80" t="s">
        <v>100</v>
      </c>
      <c r="C45" s="80" t="s">
        <v>100</v>
      </c>
      <c r="D45" s="83">
        <v>25</v>
      </c>
      <c r="E45" s="82" t="s">
        <v>100</v>
      </c>
      <c r="F45" s="82" t="s">
        <v>100</v>
      </c>
      <c r="G45" s="82" t="s">
        <v>100</v>
      </c>
      <c r="H45" s="82" t="s">
        <v>100</v>
      </c>
      <c r="I45" s="82" t="s">
        <v>100</v>
      </c>
    </row>
    <row r="46" spans="1:9" x14ac:dyDescent="0.3">
      <c r="A46" s="69" t="s">
        <v>107</v>
      </c>
      <c r="B46" s="80" t="s">
        <v>100</v>
      </c>
      <c r="C46" s="80" t="s">
        <v>100</v>
      </c>
      <c r="D46" s="84">
        <v>55</v>
      </c>
      <c r="E46" s="82" t="s">
        <v>100</v>
      </c>
      <c r="F46" s="82" t="s">
        <v>100</v>
      </c>
      <c r="G46" s="82" t="s">
        <v>100</v>
      </c>
      <c r="H46" s="82" t="s">
        <v>100</v>
      </c>
      <c r="I46" s="82" t="s">
        <v>100</v>
      </c>
    </row>
    <row r="47" spans="1:9" ht="15" customHeight="1" x14ac:dyDescent="0.3">
      <c r="A47" s="69" t="s">
        <v>109</v>
      </c>
      <c r="B47" s="80" t="s">
        <v>100</v>
      </c>
      <c r="C47" s="80" t="s">
        <v>100</v>
      </c>
      <c r="D47" s="85">
        <v>-1159.3</v>
      </c>
      <c r="E47" s="82" t="s">
        <v>100</v>
      </c>
      <c r="F47" s="82" t="s">
        <v>100</v>
      </c>
      <c r="G47" s="82" t="s">
        <v>100</v>
      </c>
      <c r="H47" s="82" t="s">
        <v>100</v>
      </c>
      <c r="I47" s="82" t="s">
        <v>100</v>
      </c>
    </row>
    <row r="55" spans="1:9" x14ac:dyDescent="0.3">
      <c r="A55" s="114" t="s">
        <v>112</v>
      </c>
      <c r="B55" s="114"/>
      <c r="C55" s="114"/>
      <c r="D55" s="114"/>
      <c r="E55" s="114"/>
      <c r="F55" s="114"/>
      <c r="G55" s="114"/>
      <c r="H55" s="114"/>
      <c r="I55" s="114"/>
    </row>
    <row r="56" spans="1:9" x14ac:dyDescent="0.3">
      <c r="A56" s="115" t="s">
        <v>113</v>
      </c>
      <c r="B56" s="115"/>
      <c r="C56" s="115"/>
      <c r="D56" s="115"/>
      <c r="E56" s="115"/>
      <c r="F56" s="115"/>
      <c r="G56" s="115"/>
      <c r="H56" s="115"/>
      <c r="I56" s="115"/>
    </row>
    <row r="58" spans="1:9" x14ac:dyDescent="0.3">
      <c r="A58" s="86"/>
      <c r="B58" s="64" t="s">
        <v>114</v>
      </c>
      <c r="C58" s="64" t="s">
        <v>115</v>
      </c>
      <c r="D58" s="64" t="s">
        <v>116</v>
      </c>
      <c r="E58" s="67" t="s">
        <v>3</v>
      </c>
      <c r="F58" s="67" t="s">
        <v>4</v>
      </c>
      <c r="G58" s="67" t="s">
        <v>5</v>
      </c>
      <c r="H58" s="67" t="s">
        <v>6</v>
      </c>
      <c r="I58" s="67" t="s">
        <v>7</v>
      </c>
    </row>
    <row r="59" spans="1:9" x14ac:dyDescent="0.3">
      <c r="A59" s="116" t="s">
        <v>117</v>
      </c>
      <c r="B59" s="116"/>
      <c r="C59" s="116"/>
      <c r="D59" s="116"/>
      <c r="E59" s="116"/>
      <c r="F59" s="116"/>
      <c r="G59" s="116"/>
      <c r="H59" s="116"/>
      <c r="I59" s="116"/>
    </row>
    <row r="60" spans="1:9" x14ac:dyDescent="0.3">
      <c r="A60" s="69" t="s">
        <v>118</v>
      </c>
      <c r="B60" s="75">
        <v>5804000</v>
      </c>
      <c r="C60" s="75">
        <v>6550612</v>
      </c>
      <c r="D60" s="75">
        <v>6860146</v>
      </c>
      <c r="E60" s="87">
        <f t="shared" ref="E60:I63" si="1">D60*(1+E6)</f>
        <v>7662783.0820000004</v>
      </c>
      <c r="F60" s="87">
        <f t="shared" si="1"/>
        <v>8521014.7871840019</v>
      </c>
      <c r="G60" s="87">
        <f t="shared" si="1"/>
        <v>9432763.3694126904</v>
      </c>
      <c r="H60" s="87">
        <f t="shared" si="1"/>
        <v>10394905.233092785</v>
      </c>
      <c r="I60" s="87">
        <f t="shared" si="1"/>
        <v>11486370.282567527</v>
      </c>
    </row>
    <row r="61" spans="1:9" x14ac:dyDescent="0.3">
      <c r="A61" s="69" t="s">
        <v>119</v>
      </c>
      <c r="B61" s="75">
        <v>383000</v>
      </c>
      <c r="C61" s="75">
        <v>376558</v>
      </c>
      <c r="D61" s="75">
        <v>432201</v>
      </c>
      <c r="E61" s="87">
        <f t="shared" si="1"/>
        <v>468505.88400000002</v>
      </c>
      <c r="F61" s="87">
        <f t="shared" si="1"/>
        <v>505986.35472000006</v>
      </c>
      <c r="G61" s="87">
        <f t="shared" si="1"/>
        <v>546465.26309760008</v>
      </c>
      <c r="H61" s="87">
        <f t="shared" si="1"/>
        <v>590182.48414540815</v>
      </c>
      <c r="I61" s="87">
        <f t="shared" si="1"/>
        <v>637397.08287704084</v>
      </c>
    </row>
    <row r="62" spans="1:9" x14ac:dyDescent="0.3">
      <c r="A62" s="69" t="s">
        <v>120</v>
      </c>
      <c r="B62" s="75">
        <v>101405</v>
      </c>
      <c r="C62" s="75">
        <v>184855</v>
      </c>
      <c r="D62" s="75">
        <v>172313</v>
      </c>
      <c r="E62" s="87">
        <f t="shared" si="1"/>
        <v>134748.766</v>
      </c>
      <c r="F62" s="87">
        <f t="shared" si="1"/>
        <v>107799.01280000001</v>
      </c>
      <c r="G62" s="87">
        <f t="shared" si="1"/>
        <v>86239.210240000015</v>
      </c>
      <c r="H62" s="87">
        <f t="shared" si="1"/>
        <v>68991.368192000009</v>
      </c>
      <c r="I62" s="87">
        <f t="shared" si="1"/>
        <v>55193.094553600007</v>
      </c>
    </row>
    <row r="63" spans="1:9" x14ac:dyDescent="0.3">
      <c r="A63" s="69" t="s">
        <v>121</v>
      </c>
      <c r="B63" s="75">
        <v>22645</v>
      </c>
      <c r="C63" s="75">
        <v>28002</v>
      </c>
      <c r="D63" s="75">
        <v>28049</v>
      </c>
      <c r="E63" s="87">
        <f t="shared" si="1"/>
        <v>28890.47</v>
      </c>
      <c r="F63" s="87">
        <f t="shared" si="1"/>
        <v>29757.184100000002</v>
      </c>
      <c r="G63" s="87">
        <f t="shared" si="1"/>
        <v>30649.899623000005</v>
      </c>
      <c r="H63" s="87">
        <f t="shared" si="1"/>
        <v>31569.396611690005</v>
      </c>
      <c r="I63" s="87">
        <f t="shared" si="1"/>
        <v>32516.478510040706</v>
      </c>
    </row>
    <row r="64" spans="1:9" ht="16.2" thickBot="1" x14ac:dyDescent="0.35">
      <c r="A64" s="68" t="s">
        <v>122</v>
      </c>
      <c r="B64" s="88">
        <f t="shared" ref="B64:D64" si="2">SUM(B60:B63)</f>
        <v>6311050</v>
      </c>
      <c r="C64" s="88">
        <f t="shared" si="2"/>
        <v>7140027</v>
      </c>
      <c r="D64" s="88">
        <f t="shared" si="2"/>
        <v>7492709</v>
      </c>
      <c r="E64" s="88">
        <f>SUM(E60:E63)</f>
        <v>8294928.2019999996</v>
      </c>
      <c r="F64" s="88">
        <f t="shared" ref="F64:H64" si="3">SUM(F60:F63)</f>
        <v>9164557.3388040029</v>
      </c>
      <c r="G64" s="88">
        <f t="shared" si="3"/>
        <v>10096117.74237329</v>
      </c>
      <c r="H64" s="88">
        <f t="shared" si="3"/>
        <v>11085648.482041884</v>
      </c>
      <c r="I64" s="88">
        <f>I60+I61+I62+I63</f>
        <v>12211476.938508207</v>
      </c>
    </row>
    <row r="65" spans="1:9" x14ac:dyDescent="0.3">
      <c r="A65" s="72" t="s">
        <v>123</v>
      </c>
      <c r="C65" s="89">
        <f t="shared" ref="C65:D65" si="4">(C64-B64)/B64</f>
        <v>0.13135326134319963</v>
      </c>
      <c r="D65" s="89">
        <f t="shared" si="4"/>
        <v>4.9395051307228953E-2</v>
      </c>
      <c r="E65" s="89">
        <f t="shared" ref="E65" si="5">(E64-D64)/D64</f>
        <v>0.10706664331952563</v>
      </c>
      <c r="F65" s="89">
        <f t="shared" ref="F65" si="6">(F64-E64)/E64</f>
        <v>0.1048386575057185</v>
      </c>
      <c r="G65" s="89">
        <f t="shared" ref="G65" si="7">(G64-F64)/F64</f>
        <v>0.1016481614038172</v>
      </c>
      <c r="H65" s="89">
        <f t="shared" ref="H65" si="8">(H64-G64)/G64</f>
        <v>9.8011014225353729E-2</v>
      </c>
      <c r="I65" s="89">
        <f t="shared" ref="I65" si="9">(I64-H64)/H64</f>
        <v>0.10155729349438604</v>
      </c>
    </row>
    <row r="67" spans="1:9" x14ac:dyDescent="0.3">
      <c r="A67" s="116" t="s">
        <v>124</v>
      </c>
      <c r="B67" s="116"/>
      <c r="C67" s="116"/>
      <c r="D67" s="116"/>
      <c r="E67" s="116"/>
      <c r="F67" s="116"/>
      <c r="G67" s="116"/>
      <c r="H67" s="116"/>
      <c r="I67" s="116"/>
    </row>
    <row r="68" spans="1:9" x14ac:dyDescent="0.3">
      <c r="A68" s="69" t="s">
        <v>125</v>
      </c>
      <c r="B68" s="75">
        <v>3136483</v>
      </c>
      <c r="C68" s="75">
        <v>3345821</v>
      </c>
      <c r="D68" s="75">
        <v>3443831</v>
      </c>
      <c r="E68" s="87">
        <f>E64-E69</f>
        <v>3774192.3319099993</v>
      </c>
      <c r="F68" s="87">
        <f t="shared" ref="F68:I68" si="10">F64-F69</f>
        <v>4124050.8024618011</v>
      </c>
      <c r="G68" s="87">
        <f t="shared" si="10"/>
        <v>4492772.3953561131</v>
      </c>
      <c r="H68" s="87">
        <f t="shared" si="10"/>
        <v>4899856.629062512</v>
      </c>
      <c r="I68" s="87">
        <f t="shared" si="10"/>
        <v>5373049.8529436104</v>
      </c>
    </row>
    <row r="69" spans="1:9" ht="16.2" thickBot="1" x14ac:dyDescent="0.35">
      <c r="A69" s="68" t="s">
        <v>126</v>
      </c>
      <c r="B69" s="88">
        <f t="shared" ref="B69:D69" si="11">B64-B68</f>
        <v>3174567</v>
      </c>
      <c r="C69" s="88">
        <f t="shared" si="11"/>
        <v>3794206</v>
      </c>
      <c r="D69" s="88">
        <f t="shared" si="11"/>
        <v>4048878</v>
      </c>
      <c r="E69" s="88">
        <f>E64*E12</f>
        <v>4520735.8700900003</v>
      </c>
      <c r="F69" s="88">
        <f>F64*F12</f>
        <v>5040506.5363422018</v>
      </c>
      <c r="G69" s="88">
        <f>G64*G12</f>
        <v>5603345.3470171764</v>
      </c>
      <c r="H69" s="88">
        <f>H64*H12</f>
        <v>6185791.8529793723</v>
      </c>
      <c r="I69" s="88">
        <f>I64*I12</f>
        <v>6838427.0855645966</v>
      </c>
    </row>
    <row r="70" spans="1:9" x14ac:dyDescent="0.3">
      <c r="A70" s="72" t="s">
        <v>127</v>
      </c>
      <c r="B70" s="89">
        <f t="shared" ref="B70:D70" si="12">B69/B64</f>
        <v>0.50301724752616439</v>
      </c>
      <c r="C70" s="89">
        <f t="shared" si="12"/>
        <v>0.53139939106672851</v>
      </c>
      <c r="D70" s="89">
        <f t="shared" si="12"/>
        <v>0.54037571724725997</v>
      </c>
      <c r="E70" s="89">
        <f t="shared" ref="E70" si="13">E69/E64</f>
        <v>0.54500000000000004</v>
      </c>
      <c r="F70" s="89">
        <f t="shared" ref="F70" si="14">F69/F64</f>
        <v>0.55000000000000004</v>
      </c>
      <c r="G70" s="89">
        <f t="shared" ref="G70" si="15">G69/G64</f>
        <v>0.55500000000000005</v>
      </c>
      <c r="H70" s="89">
        <f t="shared" ref="H70" si="16">H69/H64</f>
        <v>0.55800000000000005</v>
      </c>
      <c r="I70" s="89">
        <f t="shared" ref="I70" si="17">I69/I64</f>
        <v>0.56000000000000005</v>
      </c>
    </row>
    <row r="72" spans="1:9" x14ac:dyDescent="0.3">
      <c r="A72" s="116" t="s">
        <v>128</v>
      </c>
      <c r="B72" s="116"/>
      <c r="C72" s="116"/>
      <c r="D72" s="116"/>
      <c r="E72" s="116"/>
      <c r="F72" s="116"/>
      <c r="G72" s="116"/>
      <c r="H72" s="116"/>
      <c r="I72" s="116"/>
    </row>
    <row r="73" spans="1:9" x14ac:dyDescent="0.3">
      <c r="A73" s="69" t="s">
        <v>129</v>
      </c>
      <c r="B73" s="75">
        <v>226491</v>
      </c>
      <c r="C73" s="75">
        <v>271118</v>
      </c>
      <c r="D73" s="75">
        <v>289618</v>
      </c>
      <c r="E73" s="87">
        <f>E64*E13</f>
        <v>323502.19987799996</v>
      </c>
      <c r="F73" s="87">
        <f>F64*F13</f>
        <v>348253.17887455208</v>
      </c>
      <c r="G73" s="87">
        <f>G64*G13</f>
        <v>383652.474210185</v>
      </c>
      <c r="H73" s="87">
        <f>H64*H13</f>
        <v>410168.99383554969</v>
      </c>
      <c r="I73" s="87">
        <f>I64*I13</f>
        <v>451824.64672480366</v>
      </c>
    </row>
    <row r="74" spans="1:9" x14ac:dyDescent="0.3">
      <c r="A74" s="69" t="s">
        <v>130</v>
      </c>
      <c r="B74" s="75">
        <v>479046</v>
      </c>
      <c r="C74" s="75">
        <v>596516</v>
      </c>
      <c r="D74" s="75">
        <v>677038</v>
      </c>
      <c r="E74" s="87">
        <f>E64*E14</f>
        <v>754838.4663819999</v>
      </c>
      <c r="F74" s="87">
        <f>F64*F14</f>
        <v>843139.27516996826</v>
      </c>
      <c r="G74" s="87">
        <f>G64*G14</f>
        <v>908650.59681359597</v>
      </c>
      <c r="H74" s="87">
        <f>H64*H14</f>
        <v>997708.36338376952</v>
      </c>
      <c r="I74" s="87">
        <f>I64*I14</f>
        <v>1099032.9244657387</v>
      </c>
    </row>
    <row r="75" spans="1:9" x14ac:dyDescent="0.3">
      <c r="A75" s="69" t="s">
        <v>131</v>
      </c>
      <c r="B75" s="75">
        <v>745801</v>
      </c>
      <c r="C75" s="75">
        <v>930000</v>
      </c>
      <c r="D75" s="75">
        <v>1013166</v>
      </c>
      <c r="E75" s="87">
        <f>E64*E15</f>
        <v>1119815.30727</v>
      </c>
      <c r="F75" s="87">
        <f>F64*F15</f>
        <v>1209721.5687221284</v>
      </c>
      <c r="G75" s="87">
        <f>G64*G15</f>
        <v>1312495.3065085276</v>
      </c>
      <c r="H75" s="87">
        <f>H64*H15</f>
        <v>1418963.0057013612</v>
      </c>
      <c r="I75" s="87">
        <f>I64*I15</f>
        <v>1526434.6173135259</v>
      </c>
    </row>
    <row r="76" spans="1:9" x14ac:dyDescent="0.3">
      <c r="A76" s="69" t="s">
        <v>132</v>
      </c>
      <c r="B76" s="75">
        <v>138198</v>
      </c>
      <c r="C76" s="75">
        <v>42736</v>
      </c>
      <c r="D76" s="75">
        <v>138762</v>
      </c>
      <c r="E76" s="87">
        <f>E16</f>
        <v>0</v>
      </c>
      <c r="F76" s="87">
        <f>F16</f>
        <v>0</v>
      </c>
      <c r="G76" s="87">
        <f>G16</f>
        <v>0</v>
      </c>
      <c r="H76" s="87">
        <f>H16</f>
        <v>0</v>
      </c>
      <c r="I76" s="87">
        <f>I16</f>
        <v>0</v>
      </c>
    </row>
    <row r="77" spans="1:9" ht="16.2" thickBot="1" x14ac:dyDescent="0.35">
      <c r="A77" s="68" t="s">
        <v>133</v>
      </c>
      <c r="B77" s="88">
        <f t="shared" ref="B77:D77" si="18">B73+B74+B75+B76</f>
        <v>1589536</v>
      </c>
      <c r="C77" s="88">
        <f t="shared" si="18"/>
        <v>1840370</v>
      </c>
      <c r="D77" s="88">
        <f t="shared" si="18"/>
        <v>2118584</v>
      </c>
      <c r="E77" s="88">
        <f>SUM(E73:E76)</f>
        <v>2198155.9735300001</v>
      </c>
      <c r="F77" s="88">
        <f t="shared" ref="F77:I77" si="19">SUM(F73:F76)</f>
        <v>2401114.0227666488</v>
      </c>
      <c r="G77" s="88">
        <f t="shared" si="19"/>
        <v>2604798.3775323085</v>
      </c>
      <c r="H77" s="88">
        <f t="shared" si="19"/>
        <v>2826840.3629206805</v>
      </c>
      <c r="I77" s="88">
        <f t="shared" si="19"/>
        <v>3077292.1885040682</v>
      </c>
    </row>
    <row r="78" spans="1:9" x14ac:dyDescent="0.3">
      <c r="A78" s="72" t="s">
        <v>134</v>
      </c>
      <c r="B78" s="89">
        <f t="shared" ref="B78:D78" si="20">(B73+B74+B75)/B64</f>
        <v>0.22996775496945834</v>
      </c>
      <c r="C78" s="89">
        <f t="shared" si="20"/>
        <v>0.2517685157212991</v>
      </c>
      <c r="D78" s="89">
        <f t="shared" si="20"/>
        <v>0.26423313650643582</v>
      </c>
      <c r="E78" s="89">
        <f>E77/E64</f>
        <v>0.26500000000000001</v>
      </c>
      <c r="F78" s="89">
        <f t="shared" ref="F78:I78" si="21">F77/F64</f>
        <v>0.26200000000000001</v>
      </c>
      <c r="G78" s="89">
        <f t="shared" si="21"/>
        <v>0.25799999999999995</v>
      </c>
      <c r="H78" s="89">
        <f t="shared" si="21"/>
        <v>0.255</v>
      </c>
      <c r="I78" s="89">
        <f t="shared" si="21"/>
        <v>0.252</v>
      </c>
    </row>
    <row r="80" spans="1:9" ht="16.2" thickBot="1" x14ac:dyDescent="0.35">
      <c r="A80" s="68" t="s">
        <v>135</v>
      </c>
      <c r="B80" s="88">
        <f t="shared" ref="B80:D80" si="22">B69-B77</f>
        <v>1585031</v>
      </c>
      <c r="C80" s="88">
        <f t="shared" si="22"/>
        <v>1953836</v>
      </c>
      <c r="D80" s="88">
        <f t="shared" si="22"/>
        <v>1930294</v>
      </c>
      <c r="E80" s="88">
        <f>E69-E77</f>
        <v>2322579.8965600003</v>
      </c>
      <c r="F80" s="88">
        <f>F69-F77</f>
        <v>2639392.513575553</v>
      </c>
      <c r="G80" s="88">
        <f t="shared" ref="G80:I80" si="23">G69-G77</f>
        <v>2998546.969484868</v>
      </c>
      <c r="H80" s="88">
        <f t="shared" si="23"/>
        <v>3358951.4900586917</v>
      </c>
      <c r="I80" s="88">
        <f t="shared" si="23"/>
        <v>3761134.8970605284</v>
      </c>
    </row>
    <row r="81" spans="1:9" x14ac:dyDescent="0.3">
      <c r="A81" s="72" t="s">
        <v>136</v>
      </c>
      <c r="B81" s="89">
        <f t="shared" ref="B81:D81" si="24">B80/B64</f>
        <v>0.25115171009578435</v>
      </c>
      <c r="C81" s="89">
        <f t="shared" si="24"/>
        <v>0.27364546380566906</v>
      </c>
      <c r="D81" s="89">
        <f t="shared" si="24"/>
        <v>0.25762297721691846</v>
      </c>
      <c r="E81" s="89">
        <f>E70-E78</f>
        <v>0.28000000000000003</v>
      </c>
      <c r="F81" s="89">
        <f t="shared" ref="F81:I81" si="25">F70-F78</f>
        <v>0.28800000000000003</v>
      </c>
      <c r="G81" s="89">
        <f t="shared" si="25"/>
        <v>0.2970000000000001</v>
      </c>
      <c r="H81" s="89">
        <f t="shared" si="25"/>
        <v>0.30300000000000005</v>
      </c>
      <c r="I81" s="89">
        <f t="shared" si="25"/>
        <v>0.30800000000000005</v>
      </c>
    </row>
    <row r="82" spans="1:9" x14ac:dyDescent="0.3">
      <c r="A82" s="69" t="s">
        <v>137</v>
      </c>
      <c r="B82" s="75">
        <v>70186</v>
      </c>
      <c r="C82" s="75">
        <v>84507</v>
      </c>
      <c r="D82" s="75">
        <v>113721</v>
      </c>
      <c r="E82" s="87">
        <f>E116*E19</f>
        <v>94260.160000000003</v>
      </c>
      <c r="F82" s="87">
        <f>F116*F19</f>
        <v>84863.644</v>
      </c>
      <c r="G82" s="87">
        <f>G116*G19</f>
        <v>76408.279599999994</v>
      </c>
      <c r="H82" s="87">
        <f>H116*H19</f>
        <v>68799.451639999999</v>
      </c>
      <c r="I82" s="87">
        <f>I116*I19</f>
        <v>61952.506476000002</v>
      </c>
    </row>
    <row r="83" spans="1:9" ht="16.2" thickBot="1" x14ac:dyDescent="0.35">
      <c r="A83" s="90" t="s">
        <v>26</v>
      </c>
      <c r="B83" s="91">
        <f t="shared" ref="B83:I83" si="26">B80+B82</f>
        <v>1655217</v>
      </c>
      <c r="C83" s="91">
        <f t="shared" si="26"/>
        <v>2038343</v>
      </c>
      <c r="D83" s="91">
        <f t="shared" si="26"/>
        <v>2044015</v>
      </c>
      <c r="E83" s="91">
        <f t="shared" si="26"/>
        <v>2416840.0565600004</v>
      </c>
      <c r="F83" s="91">
        <f t="shared" si="26"/>
        <v>2724256.1575755528</v>
      </c>
      <c r="G83" s="91">
        <f t="shared" si="26"/>
        <v>3074955.249084868</v>
      </c>
      <c r="H83" s="91">
        <f t="shared" si="26"/>
        <v>3427750.9416986918</v>
      </c>
      <c r="I83" s="91">
        <f t="shared" si="26"/>
        <v>3823087.4035365283</v>
      </c>
    </row>
    <row r="84" spans="1:9" x14ac:dyDescent="0.3">
      <c r="A84" s="72" t="s">
        <v>138</v>
      </c>
      <c r="B84" s="89">
        <f t="shared" ref="B84:I84" si="27">B83/B64</f>
        <v>0.26227283890953168</v>
      </c>
      <c r="C84" s="89">
        <f t="shared" si="27"/>
        <v>0.28548113333464986</v>
      </c>
      <c r="D84" s="89">
        <f t="shared" si="27"/>
        <v>0.2728005318236702</v>
      </c>
      <c r="E84" s="89">
        <f t="shared" si="27"/>
        <v>0.29136358961820469</v>
      </c>
      <c r="F84" s="89">
        <f t="shared" si="27"/>
        <v>0.29725998287344174</v>
      </c>
      <c r="G84" s="89">
        <f t="shared" si="27"/>
        <v>0.30456808523332851</v>
      </c>
      <c r="H84" s="89">
        <f t="shared" si="27"/>
        <v>0.30920617294075781</v>
      </c>
      <c r="I84" s="89">
        <f t="shared" si="27"/>
        <v>0.31307330168070308</v>
      </c>
    </row>
    <row r="86" spans="1:9" x14ac:dyDescent="0.3">
      <c r="A86" s="116" t="s">
        <v>139</v>
      </c>
      <c r="B86" s="116"/>
      <c r="C86" s="116"/>
      <c r="D86" s="116"/>
      <c r="E86" s="116"/>
      <c r="F86" s="116"/>
      <c r="G86" s="116"/>
      <c r="H86" s="116"/>
      <c r="I86" s="116"/>
    </row>
    <row r="87" spans="1:9" x14ac:dyDescent="0.3">
      <c r="A87" s="69" t="s">
        <v>140</v>
      </c>
      <c r="B87" s="75">
        <v>7226</v>
      </c>
      <c r="C87" s="75">
        <v>130014</v>
      </c>
      <c r="D87" s="75">
        <v>115022</v>
      </c>
      <c r="E87" s="87">
        <f>E24*1000</f>
        <v>75000</v>
      </c>
      <c r="F87" s="87">
        <f>F24*1000</f>
        <v>80000</v>
      </c>
      <c r="G87" s="87">
        <f>G24*1000</f>
        <v>85000</v>
      </c>
      <c r="H87" s="87">
        <f>H24*1000</f>
        <v>90000</v>
      </c>
      <c r="I87" s="87">
        <f>I24*1000</f>
        <v>95000</v>
      </c>
    </row>
    <row r="88" spans="1:9" x14ac:dyDescent="0.3">
      <c r="A88" s="69" t="s">
        <v>141</v>
      </c>
      <c r="B88" s="75">
        <v>-1289</v>
      </c>
      <c r="C88" s="75">
        <v>-383</v>
      </c>
      <c r="D88" s="75">
        <v>-27916</v>
      </c>
      <c r="E88" s="87">
        <f>E25*-1000</f>
        <v>-48000</v>
      </c>
      <c r="F88" s="87">
        <f>F25*-1000</f>
        <v>-46000</v>
      </c>
      <c r="G88" s="87">
        <f>G25*-1000</f>
        <v>-44000</v>
      </c>
      <c r="H88" s="87">
        <f>H25*-1000</f>
        <v>-25000</v>
      </c>
      <c r="I88" s="87">
        <f>I25*-1000</f>
        <v>-25000</v>
      </c>
    </row>
    <row r="89" spans="1:9" x14ac:dyDescent="0.3">
      <c r="A89" s="69" t="s">
        <v>142</v>
      </c>
      <c r="B89" s="75">
        <v>-19762</v>
      </c>
      <c r="C89" s="75">
        <v>-129887</v>
      </c>
      <c r="D89" s="75">
        <v>-27941</v>
      </c>
      <c r="E89" s="87">
        <f>E26*1000</f>
        <v>-30000</v>
      </c>
      <c r="F89" s="87">
        <f>F26*1000</f>
        <v>-30000</v>
      </c>
      <c r="G89" s="87">
        <f>G26*1000</f>
        <v>-30000</v>
      </c>
      <c r="H89" s="87">
        <f>H26*1000</f>
        <v>-30000</v>
      </c>
      <c r="I89" s="87">
        <f>I26*1000</f>
        <v>-30000</v>
      </c>
    </row>
    <row r="90" spans="1:9" ht="16.2" thickBot="1" x14ac:dyDescent="0.35">
      <c r="A90" s="68" t="s">
        <v>143</v>
      </c>
      <c r="B90" s="88">
        <f t="shared" ref="B90:D90" si="28">B87+B88+B89</f>
        <v>-13825</v>
      </c>
      <c r="C90" s="88">
        <f t="shared" si="28"/>
        <v>-256</v>
      </c>
      <c r="D90" s="88">
        <f t="shared" si="28"/>
        <v>59165</v>
      </c>
      <c r="E90" s="88">
        <f>E87+E88+E91</f>
        <v>27000</v>
      </c>
      <c r="F90" s="88">
        <f t="shared" ref="F90:I90" si="29">F87+F88+F91</f>
        <v>34000</v>
      </c>
      <c r="G90" s="88">
        <f t="shared" si="29"/>
        <v>41000</v>
      </c>
      <c r="H90" s="88">
        <f t="shared" si="29"/>
        <v>65000</v>
      </c>
      <c r="I90" s="88">
        <f t="shared" si="29"/>
        <v>70000</v>
      </c>
    </row>
    <row r="92" spans="1:9" ht="16.2" thickBot="1" x14ac:dyDescent="0.35">
      <c r="A92" s="68" t="s">
        <v>144</v>
      </c>
      <c r="B92" s="88">
        <f t="shared" ref="B92:I92" si="30">B80+B90</f>
        <v>1571206</v>
      </c>
      <c r="C92" s="88">
        <f t="shared" si="30"/>
        <v>1953580</v>
      </c>
      <c r="D92" s="88">
        <f t="shared" si="30"/>
        <v>1989459</v>
      </c>
      <c r="E92" s="88">
        <f t="shared" si="30"/>
        <v>2349579.8965600003</v>
      </c>
      <c r="F92" s="88">
        <f t="shared" si="30"/>
        <v>2673392.513575553</v>
      </c>
      <c r="G92" s="88">
        <f t="shared" si="30"/>
        <v>3039546.969484868</v>
      </c>
      <c r="H92" s="88">
        <f t="shared" si="30"/>
        <v>3423951.4900586917</v>
      </c>
      <c r="I92" s="88">
        <f t="shared" si="30"/>
        <v>3831134.8970605284</v>
      </c>
    </row>
    <row r="93" spans="1:9" x14ac:dyDescent="0.3">
      <c r="A93" s="69" t="s">
        <v>145</v>
      </c>
      <c r="B93" s="75">
        <v>380340</v>
      </c>
      <c r="C93" s="75">
        <v>437494</v>
      </c>
      <c r="D93" s="75">
        <v>480411</v>
      </c>
      <c r="E93" s="87">
        <f>E92*E94</f>
        <v>563899.17517440009</v>
      </c>
      <c r="F93" s="87">
        <f t="shared" ref="F93:I93" si="31">F92*F94</f>
        <v>641614.20325813268</v>
      </c>
      <c r="G93" s="87">
        <f t="shared" si="31"/>
        <v>729491.27267636824</v>
      </c>
      <c r="H93" s="87">
        <f t="shared" si="31"/>
        <v>821748.35761408601</v>
      </c>
      <c r="I93" s="87">
        <f t="shared" si="31"/>
        <v>919472.37529452681</v>
      </c>
    </row>
    <row r="94" spans="1:9" x14ac:dyDescent="0.3">
      <c r="A94" s="72" t="s">
        <v>146</v>
      </c>
      <c r="B94" s="89">
        <f t="shared" ref="B94:D94" si="32">IF(B92&gt;0,B93/B92,0)</f>
        <v>0.24206883120354683</v>
      </c>
      <c r="C94" s="89">
        <f t="shared" si="32"/>
        <v>0.22394475782921611</v>
      </c>
      <c r="D94" s="89">
        <f t="shared" si="32"/>
        <v>0.24147821091060434</v>
      </c>
      <c r="E94" s="89">
        <f>E27</f>
        <v>0.24</v>
      </c>
      <c r="F94" s="89">
        <f>F27</f>
        <v>0.24</v>
      </c>
      <c r="G94" s="89">
        <f>G27</f>
        <v>0.24</v>
      </c>
      <c r="H94" s="89">
        <f>H27</f>
        <v>0.24</v>
      </c>
      <c r="I94" s="89">
        <f>I27</f>
        <v>0.24</v>
      </c>
    </row>
    <row r="96" spans="1:9" ht="16.2" thickBot="1" x14ac:dyDescent="0.35">
      <c r="A96" s="90" t="s">
        <v>147</v>
      </c>
      <c r="B96" s="91">
        <f t="shared" ref="B96:D96" si="33">B92-B93</f>
        <v>1190866</v>
      </c>
      <c r="C96" s="91">
        <f t="shared" si="33"/>
        <v>1516086</v>
      </c>
      <c r="D96" s="91">
        <f t="shared" si="33"/>
        <v>1509048</v>
      </c>
      <c r="E96" s="91">
        <f>E92-E93</f>
        <v>1785680.7213856</v>
      </c>
      <c r="F96" s="91">
        <f t="shared" ref="F96:I96" si="34">F92-F93</f>
        <v>2031778.3103174204</v>
      </c>
      <c r="G96" s="91">
        <f t="shared" si="34"/>
        <v>2310055.6968084997</v>
      </c>
      <c r="H96" s="91">
        <f t="shared" si="34"/>
        <v>2602203.1324446057</v>
      </c>
      <c r="I96" s="91">
        <f t="shared" si="34"/>
        <v>2911662.5217660014</v>
      </c>
    </row>
    <row r="97" spans="1:9" x14ac:dyDescent="0.3">
      <c r="A97" s="72" t="s">
        <v>148</v>
      </c>
      <c r="B97" s="89">
        <f t="shared" ref="B97:I97" si="35">B96/B64</f>
        <v>0.18869538349403031</v>
      </c>
      <c r="C97" s="89">
        <f t="shared" si="35"/>
        <v>0.21233617183800566</v>
      </c>
      <c r="D97" s="89">
        <f t="shared" si="35"/>
        <v>0.20140218978209351</v>
      </c>
      <c r="E97" s="89">
        <f t="shared" si="35"/>
        <v>0.21527380079734174</v>
      </c>
      <c r="F97" s="89">
        <f t="shared" si="35"/>
        <v>0.22169955789513043</v>
      </c>
      <c r="G97" s="89">
        <f t="shared" si="35"/>
        <v>0.22880633484623725</v>
      </c>
      <c r="H97" s="89">
        <f t="shared" si="35"/>
        <v>0.23473621201863162</v>
      </c>
      <c r="I97" s="89">
        <f t="shared" si="35"/>
        <v>0.23843655738187058</v>
      </c>
    </row>
    <row r="99" spans="1:9" x14ac:dyDescent="0.3">
      <c r="A99" s="69" t="s">
        <v>149</v>
      </c>
      <c r="B99" s="74">
        <v>1066.0999999999999</v>
      </c>
      <c r="C99" s="74">
        <v>1058</v>
      </c>
      <c r="D99" s="74">
        <v>1013.1</v>
      </c>
      <c r="E99" s="92">
        <v>1025</v>
      </c>
      <c r="F99" s="92">
        <v>1025</v>
      </c>
      <c r="G99" s="92">
        <v>1025</v>
      </c>
      <c r="H99" s="92">
        <v>1025</v>
      </c>
      <c r="I99" s="92">
        <v>1025</v>
      </c>
    </row>
    <row r="100" spans="1:9" ht="16.2" thickBot="1" x14ac:dyDescent="0.35">
      <c r="A100" s="90" t="s">
        <v>150</v>
      </c>
      <c r="B100" s="93">
        <f t="shared" ref="B100:I100" si="36">B96/B99/1000</f>
        <v>1.1170302973454647</v>
      </c>
      <c r="C100" s="93">
        <f t="shared" si="36"/>
        <v>1.4329735349716446</v>
      </c>
      <c r="D100" s="93">
        <f t="shared" si="36"/>
        <v>1.4895350903168492</v>
      </c>
      <c r="E100" s="93">
        <f t="shared" si="36"/>
        <v>1.7421275330591219</v>
      </c>
      <c r="F100" s="93">
        <f t="shared" si="36"/>
        <v>1.9822227417730931</v>
      </c>
      <c r="G100" s="93">
        <f t="shared" si="36"/>
        <v>2.2537128749351218</v>
      </c>
      <c r="H100" s="93">
        <f t="shared" si="36"/>
        <v>2.538734763360591</v>
      </c>
      <c r="I100" s="93">
        <f t="shared" si="36"/>
        <v>2.8406463626985379</v>
      </c>
    </row>
    <row r="101" spans="1:9" x14ac:dyDescent="0.3">
      <c r="A101" s="72" t="s">
        <v>151</v>
      </c>
      <c r="C101" s="89">
        <f t="shared" ref="C101:D101" si="37">IF(B100&lt;&gt;0,(C100-B100)/B100,"")</f>
        <v>0.28284213810224701</v>
      </c>
      <c r="D101" s="89">
        <f t="shared" si="37"/>
        <v>3.9471458449735992E-2</v>
      </c>
      <c r="E101" s="89">
        <f t="shared" ref="E101" si="38">IF(D100&lt;&gt;0,(E100-D100)/D100,"")</f>
        <v>0.16957804108431049</v>
      </c>
      <c r="F101" s="89">
        <f t="shared" ref="F101" si="39">IF(E100&lt;&gt;0,(F100-E100)/E100,"")</f>
        <v>0.13781724021798303</v>
      </c>
      <c r="G101" s="89">
        <f t="shared" ref="G101" si="40">IF(F100&lt;&gt;0,(G100-F100)/F100,"")</f>
        <v>0.13696247522575669</v>
      </c>
      <c r="H101" s="89">
        <f t="shared" ref="H101" si="41">IF(G100&lt;&gt;0,(H100-G100)/G100,"")</f>
        <v>0.12646770207303987</v>
      </c>
      <c r="I101" s="89">
        <f t="shared" ref="I101" si="42">IF(H100&lt;&gt;0,(I100-H100)/H100,"")</f>
        <v>0.1189220724020411</v>
      </c>
    </row>
    <row r="103" spans="1:9" x14ac:dyDescent="0.3">
      <c r="A103" s="114" t="s">
        <v>153</v>
      </c>
      <c r="B103" s="114"/>
      <c r="C103" s="114"/>
      <c r="D103" s="114"/>
      <c r="E103" s="114"/>
      <c r="F103" s="114"/>
      <c r="G103" s="114"/>
      <c r="H103" s="114"/>
      <c r="I103" s="114"/>
    </row>
    <row r="104" spans="1:9" x14ac:dyDescent="0.3">
      <c r="A104" s="115" t="s">
        <v>154</v>
      </c>
      <c r="B104" s="115"/>
      <c r="C104" s="115"/>
      <c r="D104" s="115"/>
      <c r="E104" s="115"/>
      <c r="F104" s="115"/>
      <c r="G104" s="115"/>
      <c r="H104" s="115"/>
      <c r="I104" s="115"/>
    </row>
    <row r="106" spans="1:9" x14ac:dyDescent="0.3">
      <c r="A106" s="86"/>
      <c r="B106" s="64" t="s">
        <v>114</v>
      </c>
      <c r="C106" s="64" t="s">
        <v>115</v>
      </c>
      <c r="D106" s="64" t="s">
        <v>116</v>
      </c>
      <c r="E106" s="67" t="s">
        <v>3</v>
      </c>
      <c r="F106" s="67" t="s">
        <v>4</v>
      </c>
      <c r="G106" s="67" t="s">
        <v>5</v>
      </c>
      <c r="H106" s="67" t="s">
        <v>6</v>
      </c>
      <c r="I106" s="67" t="s">
        <v>7</v>
      </c>
    </row>
    <row r="107" spans="1:9" x14ac:dyDescent="0.3">
      <c r="A107" s="116" t="s">
        <v>155</v>
      </c>
      <c r="B107" s="116"/>
      <c r="C107" s="116"/>
      <c r="D107" s="116"/>
      <c r="E107" s="116"/>
      <c r="F107" s="116"/>
      <c r="G107" s="116"/>
      <c r="H107" s="116"/>
      <c r="I107" s="116"/>
    </row>
    <row r="108" spans="1:9" x14ac:dyDescent="0.3">
      <c r="A108" s="69" t="s">
        <v>156</v>
      </c>
      <c r="B108" s="75">
        <v>1460000</v>
      </c>
      <c r="C108" s="75">
        <v>2297675</v>
      </c>
      <c r="D108" s="75">
        <v>1533287</v>
      </c>
      <c r="E108" s="87"/>
      <c r="F108" s="87"/>
      <c r="G108" s="87"/>
      <c r="H108" s="87"/>
      <c r="I108" s="87"/>
    </row>
    <row r="109" spans="1:9" x14ac:dyDescent="0.3">
      <c r="A109" s="69" t="s">
        <v>157</v>
      </c>
      <c r="B109" s="75">
        <v>516000</v>
      </c>
      <c r="C109" s="75">
        <v>955605</v>
      </c>
      <c r="D109" s="75">
        <v>0</v>
      </c>
      <c r="E109" s="103">
        <f>E34*1000</f>
        <v>500000</v>
      </c>
      <c r="F109" s="103">
        <f t="shared" ref="F109:I109" si="43">F34*1000</f>
        <v>500000</v>
      </c>
      <c r="G109" s="103">
        <f t="shared" si="43"/>
        <v>500000</v>
      </c>
      <c r="H109" s="103">
        <f t="shared" si="43"/>
        <v>500000</v>
      </c>
      <c r="I109" s="103">
        <f t="shared" si="43"/>
        <v>500000</v>
      </c>
    </row>
    <row r="110" spans="1:9" x14ac:dyDescent="0.3">
      <c r="A110" s="69" t="s">
        <v>158</v>
      </c>
      <c r="B110" s="75">
        <v>1067000</v>
      </c>
      <c r="C110" s="75">
        <v>1193964</v>
      </c>
      <c r="D110" s="75">
        <v>1221646</v>
      </c>
      <c r="E110" s="103">
        <f>E64*E30/365</f>
        <v>1318098.1800438354</v>
      </c>
      <c r="F110" s="103">
        <f>F64*F30/365</f>
        <v>1431177.4474296661</v>
      </c>
      <c r="G110" s="103">
        <f>G64*G30/365</f>
        <v>1576654.0036034998</v>
      </c>
      <c r="H110" s="103">
        <f>H64*H30/365</f>
        <v>1700811.8219023165</v>
      </c>
      <c r="I110" s="103">
        <f>I64*I30/365</f>
        <v>1873541.6672779713</v>
      </c>
    </row>
    <row r="111" spans="1:9" x14ac:dyDescent="0.3">
      <c r="A111" s="69" t="s">
        <v>159</v>
      </c>
      <c r="B111" s="75">
        <v>835000</v>
      </c>
      <c r="C111" s="75">
        <v>971406</v>
      </c>
      <c r="D111" s="75">
        <v>737107</v>
      </c>
      <c r="E111" s="103">
        <f>E68*E31/365</f>
        <v>847900.74305923283</v>
      </c>
      <c r="F111" s="103">
        <f>F68*F31/365</f>
        <v>881304.00710142602</v>
      </c>
      <c r="G111" s="103">
        <f>G68*G31/365</f>
        <v>923172.41000468074</v>
      </c>
      <c r="H111" s="103">
        <f>H68*H31/365</f>
        <v>979971.32581250241</v>
      </c>
      <c r="I111" s="103">
        <f>I68*I31/365</f>
        <v>1059889.2860601095</v>
      </c>
    </row>
    <row r="112" spans="1:9" x14ac:dyDescent="0.3">
      <c r="A112" s="69" t="s">
        <v>160</v>
      </c>
      <c r="B112" s="75">
        <v>207000</v>
      </c>
      <c r="C112" s="75">
        <v>170346</v>
      </c>
      <c r="D112" s="75">
        <v>149464</v>
      </c>
      <c r="E112" s="110">
        <f>D112*(1+E36)</f>
        <v>134517.6</v>
      </c>
      <c r="F112" s="110">
        <f t="shared" ref="F112:I112" si="44">E112*(1+F36)</f>
        <v>121065.84000000001</v>
      </c>
      <c r="G112" s="110">
        <f t="shared" si="44"/>
        <v>108959.25600000001</v>
      </c>
      <c r="H112" s="110">
        <f t="shared" si="44"/>
        <v>98063.330400000006</v>
      </c>
      <c r="I112" s="110">
        <f t="shared" si="44"/>
        <v>88256.997360000008</v>
      </c>
    </row>
    <row r="113" spans="1:9" ht="16.2" thickBot="1" x14ac:dyDescent="0.35">
      <c r="A113" s="68" t="s">
        <v>161</v>
      </c>
      <c r="B113" s="88">
        <f t="shared" ref="B113:D113" si="45">B108+B109+B110+B111+B112</f>
        <v>4085000</v>
      </c>
      <c r="C113" s="88">
        <f t="shared" si="45"/>
        <v>5588996</v>
      </c>
      <c r="D113" s="88">
        <f t="shared" si="45"/>
        <v>3641504</v>
      </c>
      <c r="E113" s="88"/>
      <c r="F113" s="88"/>
      <c r="G113" s="88"/>
      <c r="H113" s="88"/>
      <c r="I113" s="88"/>
    </row>
    <row r="115" spans="1:9" x14ac:dyDescent="0.3">
      <c r="A115" s="116" t="s">
        <v>162</v>
      </c>
      <c r="B115" s="116"/>
      <c r="C115" s="116"/>
      <c r="D115" s="116"/>
      <c r="E115" s="116"/>
      <c r="F115" s="116"/>
      <c r="G115" s="116"/>
      <c r="H115" s="116"/>
      <c r="I115" s="116"/>
    </row>
    <row r="116" spans="1:9" x14ac:dyDescent="0.3">
      <c r="A116" s="69" t="s">
        <v>163</v>
      </c>
      <c r="B116" s="75">
        <v>500000</v>
      </c>
      <c r="C116" s="75">
        <v>890796</v>
      </c>
      <c r="D116" s="75">
        <v>1047024</v>
      </c>
      <c r="E116" s="87">
        <f>D116*(1-E19)+E20</f>
        <v>942601.6</v>
      </c>
      <c r="F116" s="87">
        <f>E116*(1-F19)+F20</f>
        <v>848636.44</v>
      </c>
      <c r="G116" s="87">
        <f>F116*(1-G19)+G20</f>
        <v>764082.79599999997</v>
      </c>
      <c r="H116" s="87">
        <f>G116*(1-H19)+H20</f>
        <v>687994.51639999996</v>
      </c>
      <c r="I116" s="87">
        <f>H116*(1-I19)+I20</f>
        <v>619525.06475999998</v>
      </c>
    </row>
    <row r="117" spans="1:9" x14ac:dyDescent="0.3">
      <c r="A117" s="69" t="s">
        <v>164</v>
      </c>
      <c r="B117" s="75">
        <v>1375000</v>
      </c>
      <c r="C117" s="75">
        <v>1417941</v>
      </c>
      <c r="D117" s="75">
        <v>1331643</v>
      </c>
      <c r="E117" s="87">
        <f>E35</f>
        <v>1350000</v>
      </c>
      <c r="F117" s="87">
        <f>F35</f>
        <v>1350000</v>
      </c>
      <c r="G117" s="87">
        <f>G35</f>
        <v>1350000</v>
      </c>
      <c r="H117" s="87">
        <f>H35</f>
        <v>1350000</v>
      </c>
      <c r="I117" s="87">
        <f>I35</f>
        <v>1350000</v>
      </c>
    </row>
    <row r="118" spans="1:9" x14ac:dyDescent="0.3">
      <c r="A118" s="69" t="s">
        <v>165</v>
      </c>
      <c r="B118" s="75">
        <v>310000</v>
      </c>
      <c r="C118" s="75">
        <v>1427139</v>
      </c>
      <c r="D118" s="75">
        <v>1414252</v>
      </c>
      <c r="E118" s="113">
        <v>1400000</v>
      </c>
      <c r="F118" s="113">
        <v>1400000</v>
      </c>
      <c r="G118" s="113">
        <v>1400000</v>
      </c>
      <c r="H118" s="113">
        <v>1400000</v>
      </c>
      <c r="I118" s="113">
        <v>1400000</v>
      </c>
    </row>
    <row r="119" spans="1:9" x14ac:dyDescent="0.3">
      <c r="A119" s="69" t="s">
        <v>166</v>
      </c>
      <c r="B119" s="75">
        <v>320000</v>
      </c>
      <c r="C119" s="75">
        <v>285219</v>
      </c>
      <c r="D119" s="75">
        <v>284666</v>
      </c>
      <c r="E119" s="87">
        <v>300000</v>
      </c>
      <c r="F119" s="87">
        <v>300000</v>
      </c>
      <c r="G119" s="87">
        <v>300000</v>
      </c>
      <c r="H119" s="87">
        <v>300000</v>
      </c>
      <c r="I119" s="87">
        <v>300000</v>
      </c>
    </row>
    <row r="120" spans="1:9" ht="16.2" thickBot="1" x14ac:dyDescent="0.35">
      <c r="A120" s="68" t="s">
        <v>167</v>
      </c>
      <c r="B120" s="88">
        <f t="shared" ref="B120:D120" si="46">B113+B116+B117+B118+B119</f>
        <v>6590000</v>
      </c>
      <c r="C120" s="88">
        <f t="shared" si="46"/>
        <v>9610091</v>
      </c>
      <c r="D120" s="88">
        <f t="shared" si="46"/>
        <v>7719089</v>
      </c>
      <c r="E120" s="88"/>
      <c r="F120" s="88"/>
      <c r="G120" s="88"/>
      <c r="H120" s="88"/>
      <c r="I120" s="88"/>
    </row>
    <row r="122" spans="1:9" x14ac:dyDescent="0.3">
      <c r="A122" s="116" t="s">
        <v>168</v>
      </c>
      <c r="B122" s="116"/>
      <c r="C122" s="116"/>
      <c r="D122" s="116"/>
      <c r="E122" s="116"/>
      <c r="F122" s="116"/>
      <c r="G122" s="116"/>
      <c r="H122" s="116"/>
      <c r="I122" s="116"/>
    </row>
    <row r="123" spans="1:9" x14ac:dyDescent="0.3">
      <c r="A123" s="69" t="s">
        <v>169</v>
      </c>
      <c r="B123" s="75">
        <v>470000</v>
      </c>
      <c r="C123" s="75">
        <v>564379</v>
      </c>
      <c r="D123" s="75">
        <v>466775</v>
      </c>
      <c r="E123" s="87">
        <f>E68*E32/365</f>
        <v>537693.15413512313</v>
      </c>
      <c r="F123" s="87">
        <f>F68*F32/365</f>
        <v>587536.00473428401</v>
      </c>
      <c r="G123" s="87">
        <f>G68*G32/365</f>
        <v>640066.20426991198</v>
      </c>
      <c r="H123" s="87">
        <f>H68*H32/365</f>
        <v>698061.76633219351</v>
      </c>
      <c r="I123" s="87">
        <f>I68*I32/365</f>
        <v>765475.59548785689</v>
      </c>
    </row>
    <row r="124" spans="1:9" x14ac:dyDescent="0.3">
      <c r="A124" s="69" t="s">
        <v>170</v>
      </c>
      <c r="B124" s="75">
        <v>620000</v>
      </c>
      <c r="C124" s="75">
        <v>591290</v>
      </c>
      <c r="D124" s="75">
        <v>624934</v>
      </c>
      <c r="E124" s="87">
        <f>E64*E33</f>
        <v>705068.89717000001</v>
      </c>
      <c r="F124" s="87">
        <f>F64*F33</f>
        <v>778987.37379834033</v>
      </c>
      <c r="G124" s="87">
        <f>G64*G33</f>
        <v>858170.00810172968</v>
      </c>
      <c r="H124" s="87">
        <f>H64*H33</f>
        <v>942280.12097356026</v>
      </c>
      <c r="I124" s="87">
        <f>I64*I33</f>
        <v>1037975.5397731976</v>
      </c>
    </row>
    <row r="125" spans="1:9" ht="16.2" thickBot="1" x14ac:dyDescent="0.35">
      <c r="A125" s="68" t="s">
        <v>171</v>
      </c>
      <c r="B125" s="88">
        <f t="shared" ref="B125:D125" si="47">B123+B124</f>
        <v>1090000</v>
      </c>
      <c r="C125" s="88">
        <f t="shared" si="47"/>
        <v>1155669</v>
      </c>
      <c r="D125" s="88">
        <f t="shared" si="47"/>
        <v>1091709</v>
      </c>
      <c r="E125" s="88">
        <f>E123+E124</f>
        <v>1242762.0513051231</v>
      </c>
      <c r="F125" s="88"/>
      <c r="G125" s="88"/>
      <c r="H125" s="88"/>
      <c r="I125" s="88"/>
    </row>
    <row r="127" spans="1:9" x14ac:dyDescent="0.3">
      <c r="A127" s="116" t="s">
        <v>172</v>
      </c>
      <c r="B127" s="116"/>
      <c r="C127" s="116"/>
      <c r="D127" s="116"/>
      <c r="E127" s="116"/>
      <c r="F127" s="116"/>
      <c r="G127" s="116"/>
      <c r="H127" s="116"/>
      <c r="I127" s="116"/>
    </row>
    <row r="128" spans="1:9" x14ac:dyDescent="0.3">
      <c r="A128" s="69" t="s">
        <v>173</v>
      </c>
      <c r="B128" s="75">
        <v>0</v>
      </c>
      <c r="C128" s="75">
        <v>0</v>
      </c>
      <c r="D128" s="75">
        <v>373951</v>
      </c>
      <c r="E128" s="94" t="s">
        <v>276</v>
      </c>
      <c r="F128" s="94" t="s">
        <v>276</v>
      </c>
      <c r="G128" s="94" t="s">
        <v>276</v>
      </c>
      <c r="H128" s="94" t="s">
        <v>276</v>
      </c>
      <c r="I128" s="94" t="s">
        <v>276</v>
      </c>
    </row>
    <row r="129" spans="1:9" x14ac:dyDescent="0.3">
      <c r="A129" s="69" t="s">
        <v>174</v>
      </c>
      <c r="B129" s="75">
        <v>380000</v>
      </c>
      <c r="C129" s="75">
        <v>296089</v>
      </c>
      <c r="D129" s="75">
        <v>224817</v>
      </c>
      <c r="E129" s="87">
        <f>D129*0.77</f>
        <v>173109.09</v>
      </c>
      <c r="F129" s="87">
        <f t="shared" ref="F129:I129" si="48">E129*0.77</f>
        <v>133293.9993</v>
      </c>
      <c r="G129" s="87">
        <f t="shared" si="48"/>
        <v>102636.379461</v>
      </c>
      <c r="H129" s="87">
        <f t="shared" si="48"/>
        <v>79030.012184970008</v>
      </c>
      <c r="I129" s="87">
        <f t="shared" si="48"/>
        <v>60853.109382426905</v>
      </c>
    </row>
    <row r="130" spans="1:9" ht="16.2" thickBot="1" x14ac:dyDescent="0.35">
      <c r="A130" s="68" t="s">
        <v>175</v>
      </c>
      <c r="B130" s="88">
        <f t="shared" ref="B130:D130" si="49">B125+B128+B129</f>
        <v>1470000</v>
      </c>
      <c r="C130" s="88">
        <f t="shared" si="49"/>
        <v>1451758</v>
      </c>
      <c r="D130" s="88">
        <f t="shared" si="49"/>
        <v>1690477</v>
      </c>
      <c r="E130" s="88">
        <f>E123+E124+E129</f>
        <v>1415871.1413051232</v>
      </c>
      <c r="F130" s="88">
        <f t="shared" ref="F130:I130" si="50">F123+F124+F129</f>
        <v>1499817.3778326244</v>
      </c>
      <c r="G130" s="88">
        <f t="shared" si="50"/>
        <v>1600872.5918326417</v>
      </c>
      <c r="H130" s="88">
        <f t="shared" si="50"/>
        <v>1719371.8994907239</v>
      </c>
      <c r="I130" s="88">
        <f t="shared" si="50"/>
        <v>1864304.2446434814</v>
      </c>
    </row>
    <row r="132" spans="1:9" x14ac:dyDescent="0.3">
      <c r="A132" s="116" t="s">
        <v>176</v>
      </c>
      <c r="B132" s="116"/>
      <c r="C132" s="116"/>
      <c r="D132" s="116"/>
      <c r="E132" s="116"/>
      <c r="F132" s="116"/>
      <c r="G132" s="116"/>
      <c r="H132" s="116"/>
      <c r="I132" s="116"/>
    </row>
    <row r="133" spans="1:9" x14ac:dyDescent="0.3">
      <c r="A133" s="69" t="s">
        <v>177</v>
      </c>
      <c r="B133" s="75">
        <v>4700000</v>
      </c>
      <c r="C133" s="75">
        <v>4980728</v>
      </c>
      <c r="D133" s="75">
        <v>5150554</v>
      </c>
      <c r="E133" s="87"/>
      <c r="F133" s="87"/>
      <c r="G133" s="87"/>
      <c r="H133" s="87"/>
      <c r="I133" s="87"/>
    </row>
    <row r="134" spans="1:9" x14ac:dyDescent="0.3">
      <c r="A134" s="69" t="s">
        <v>178</v>
      </c>
      <c r="B134" s="75">
        <v>4308000</v>
      </c>
      <c r="C134" s="75">
        <v>5939736</v>
      </c>
      <c r="D134" s="75">
        <v>7448784</v>
      </c>
      <c r="E134" s="94"/>
      <c r="F134" s="94"/>
      <c r="G134" s="94"/>
      <c r="H134" s="94"/>
      <c r="I134" s="94"/>
    </row>
    <row r="135" spans="1:9" x14ac:dyDescent="0.3">
      <c r="A135" s="69" t="s">
        <v>179</v>
      </c>
      <c r="B135" s="75">
        <v>-2516000</v>
      </c>
      <c r="C135" s="75">
        <v>-2691720</v>
      </c>
      <c r="D135" s="75">
        <v>-6641620</v>
      </c>
      <c r="E135" s="87"/>
      <c r="F135" s="87"/>
      <c r="G135" s="87"/>
      <c r="H135" s="87"/>
      <c r="I135" s="87"/>
    </row>
    <row r="136" spans="1:9" ht="16.2" thickBot="1" x14ac:dyDescent="0.35">
      <c r="A136" s="90" t="s">
        <v>180</v>
      </c>
      <c r="B136" s="91">
        <f t="shared" ref="B136:D136" si="51">B133+B134+B135</f>
        <v>6492000</v>
      </c>
      <c r="C136" s="91">
        <f t="shared" si="51"/>
        <v>8228744</v>
      </c>
      <c r="D136" s="91">
        <f t="shared" si="51"/>
        <v>5957718</v>
      </c>
      <c r="E136" s="91"/>
      <c r="F136" s="91"/>
      <c r="G136" s="91"/>
      <c r="H136" s="91"/>
      <c r="I136" s="91"/>
    </row>
    <row r="137" spans="1:9" ht="16.2" thickBot="1" x14ac:dyDescent="0.35">
      <c r="A137" s="90" t="s">
        <v>181</v>
      </c>
      <c r="B137" s="91">
        <f t="shared" ref="B137:D137" si="52">B130+B136</f>
        <v>7962000</v>
      </c>
      <c r="C137" s="91">
        <f t="shared" si="52"/>
        <v>9680502</v>
      </c>
      <c r="D137" s="91">
        <f t="shared" si="52"/>
        <v>7648195</v>
      </c>
      <c r="E137" s="91"/>
      <c r="F137" s="91"/>
      <c r="G137" s="91"/>
      <c r="H137" s="91"/>
      <c r="I137" s="91"/>
    </row>
    <row r="139" spans="1:9" x14ac:dyDescent="0.3">
      <c r="A139" s="114" t="s">
        <v>183</v>
      </c>
      <c r="B139" s="114"/>
      <c r="C139" s="114"/>
      <c r="D139" s="114"/>
      <c r="E139" s="114"/>
      <c r="F139" s="114"/>
      <c r="G139" s="114"/>
      <c r="H139" s="114"/>
      <c r="I139" s="114"/>
    </row>
    <row r="140" spans="1:9" x14ac:dyDescent="0.3">
      <c r="A140" s="115" t="s">
        <v>184</v>
      </c>
      <c r="B140" s="115"/>
      <c r="C140" s="115"/>
      <c r="D140" s="115"/>
      <c r="E140" s="115"/>
      <c r="F140" s="115"/>
      <c r="G140" s="115"/>
      <c r="H140" s="115"/>
      <c r="I140" s="115"/>
    </row>
    <row r="142" spans="1:9" x14ac:dyDescent="0.3">
      <c r="A142" s="86"/>
      <c r="B142" s="64" t="s">
        <v>114</v>
      </c>
      <c r="C142" s="64" t="s">
        <v>115</v>
      </c>
      <c r="D142" s="64" t="s">
        <v>116</v>
      </c>
      <c r="E142" s="67" t="s">
        <v>3</v>
      </c>
      <c r="F142" s="67" t="s">
        <v>4</v>
      </c>
      <c r="G142" s="67" t="s">
        <v>5</v>
      </c>
      <c r="H142" s="67" t="s">
        <v>6</v>
      </c>
      <c r="I142" s="67" t="s">
        <v>7</v>
      </c>
    </row>
    <row r="143" spans="1:9" x14ac:dyDescent="0.3">
      <c r="A143" s="116" t="s">
        <v>185</v>
      </c>
      <c r="B143" s="116"/>
      <c r="C143" s="116"/>
      <c r="D143" s="116"/>
      <c r="E143" s="116"/>
      <c r="F143" s="116"/>
      <c r="G143" s="116"/>
      <c r="H143" s="116"/>
      <c r="I143" s="116"/>
    </row>
    <row r="144" spans="1:9" x14ac:dyDescent="0.3">
      <c r="A144" s="69" t="s">
        <v>186</v>
      </c>
      <c r="B144" s="75">
        <v>1191624</v>
      </c>
      <c r="C144" s="75">
        <v>1630988</v>
      </c>
      <c r="D144" s="75">
        <v>1509048</v>
      </c>
      <c r="E144" s="103">
        <f>E96</f>
        <v>1785680.7213856</v>
      </c>
      <c r="F144" s="103">
        <f t="shared" ref="F144:I144" si="53">F96</f>
        <v>2031778.3103174204</v>
      </c>
      <c r="G144" s="103">
        <f t="shared" si="53"/>
        <v>2310055.6968084997</v>
      </c>
      <c r="H144" s="103">
        <f t="shared" si="53"/>
        <v>2602203.1324446057</v>
      </c>
      <c r="I144" s="103">
        <f t="shared" si="53"/>
        <v>2911662.5217660014</v>
      </c>
    </row>
    <row r="145" spans="1:9" x14ac:dyDescent="0.3">
      <c r="A145" s="69" t="s">
        <v>187</v>
      </c>
      <c r="B145" s="75">
        <v>70186</v>
      </c>
      <c r="C145" s="75">
        <v>84507</v>
      </c>
      <c r="D145" s="75">
        <v>113721</v>
      </c>
      <c r="E145" s="103">
        <f>E82</f>
        <v>94260.160000000003</v>
      </c>
      <c r="F145" s="103">
        <f t="shared" ref="F145:I145" si="54">F82</f>
        <v>84863.644</v>
      </c>
      <c r="G145" s="103">
        <f t="shared" si="54"/>
        <v>76408.279599999994</v>
      </c>
      <c r="H145" s="103">
        <f t="shared" si="54"/>
        <v>68799.451639999999</v>
      </c>
      <c r="I145" s="103">
        <f t="shared" si="54"/>
        <v>61952.506476000002</v>
      </c>
    </row>
    <row r="146" spans="1:9" x14ac:dyDescent="0.3">
      <c r="A146" s="69" t="s">
        <v>188</v>
      </c>
      <c r="B146" s="75">
        <v>61842</v>
      </c>
      <c r="C146" s="75">
        <v>68218</v>
      </c>
      <c r="D146" s="75">
        <v>82278</v>
      </c>
      <c r="E146" s="103">
        <f>E75*E21</f>
        <v>89585.224581600007</v>
      </c>
      <c r="F146" s="103">
        <f>F75*F21</f>
        <v>96777.725497770269</v>
      </c>
      <c r="G146" s="103">
        <f>G75*G21</f>
        <v>104999.62452068221</v>
      </c>
      <c r="H146" s="103">
        <f>H75*H21</f>
        <v>113517.04045610889</v>
      </c>
      <c r="I146" s="103">
        <f>I75*I21</f>
        <v>122114.76938508207</v>
      </c>
    </row>
    <row r="147" spans="1:9" x14ac:dyDescent="0.3">
      <c r="A147" s="69" t="s">
        <v>189</v>
      </c>
      <c r="B147" s="75">
        <v>0</v>
      </c>
      <c r="C147" s="75">
        <v>42736</v>
      </c>
      <c r="D147" s="75">
        <v>138762</v>
      </c>
      <c r="E147" s="94">
        <f>E16</f>
        <v>0</v>
      </c>
      <c r="F147" s="94">
        <f>F16</f>
        <v>0</v>
      </c>
      <c r="G147" s="94">
        <f>G16</f>
        <v>0</v>
      </c>
      <c r="H147" s="94">
        <f>H16</f>
        <v>0</v>
      </c>
      <c r="I147" s="94">
        <f>I16</f>
        <v>0</v>
      </c>
    </row>
    <row r="148" spans="1:9" x14ac:dyDescent="0.3">
      <c r="A148" s="69" t="s">
        <v>190</v>
      </c>
      <c r="B148" s="75">
        <v>-166201</v>
      </c>
      <c r="C148" s="75">
        <v>-126700</v>
      </c>
      <c r="D148" s="75">
        <v>-28012</v>
      </c>
      <c r="E148" s="103">
        <f>D110-E110</f>
        <v>-96452.180043835426</v>
      </c>
      <c r="F148" s="103">
        <f t="shared" ref="F148:I148" si="55">E110-F110</f>
        <v>-113079.26738583064</v>
      </c>
      <c r="G148" s="103">
        <f t="shared" si="55"/>
        <v>-145476.55617383379</v>
      </c>
      <c r="H148" s="103">
        <f t="shared" si="55"/>
        <v>-124157.81829881668</v>
      </c>
      <c r="I148" s="103">
        <f t="shared" si="55"/>
        <v>-172729.84537565475</v>
      </c>
    </row>
    <row r="149" spans="1:9" x14ac:dyDescent="0.3">
      <c r="A149" s="69" t="s">
        <v>191</v>
      </c>
      <c r="B149" s="75">
        <v>-189234</v>
      </c>
      <c r="C149" s="75">
        <v>64600</v>
      </c>
      <c r="D149" s="75">
        <v>234299</v>
      </c>
      <c r="E149" s="103">
        <f>D111-E111</f>
        <v>-110793.74305923283</v>
      </c>
      <c r="F149" s="103">
        <f t="shared" ref="F149:I149" si="56">E111-F111</f>
        <v>-33403.264042193186</v>
      </c>
      <c r="G149" s="103">
        <f t="shared" si="56"/>
        <v>-41868.402903254726</v>
      </c>
      <c r="H149" s="103">
        <f t="shared" si="56"/>
        <v>-56798.915807821671</v>
      </c>
      <c r="I149" s="103">
        <f t="shared" si="56"/>
        <v>-79917.960247607087</v>
      </c>
    </row>
    <row r="150" spans="1:9" x14ac:dyDescent="0.3">
      <c r="A150" s="69" t="s">
        <v>192</v>
      </c>
      <c r="B150" s="75">
        <v>94736</v>
      </c>
      <c r="C150" s="75">
        <v>57847</v>
      </c>
      <c r="D150" s="75">
        <v>-97604</v>
      </c>
      <c r="E150" s="103">
        <f>E123-D123</f>
        <v>70918.154135123128</v>
      </c>
      <c r="F150" s="103">
        <f t="shared" ref="F150:I150" si="57">F123-E123</f>
        <v>49842.850599160884</v>
      </c>
      <c r="G150" s="103">
        <f t="shared" si="57"/>
        <v>52530.199535627966</v>
      </c>
      <c r="H150" s="103">
        <f t="shared" si="57"/>
        <v>57995.562062281533</v>
      </c>
      <c r="I150" s="103">
        <f t="shared" si="57"/>
        <v>67413.829155663378</v>
      </c>
    </row>
    <row r="151" spans="1:9" x14ac:dyDescent="0.3">
      <c r="A151" s="69" t="s">
        <v>193</v>
      </c>
      <c r="B151" s="75">
        <v>105966</v>
      </c>
      <c r="C151" s="75">
        <v>96904</v>
      </c>
      <c r="D151" s="75">
        <v>3608</v>
      </c>
      <c r="E151" s="112">
        <v>10000</v>
      </c>
      <c r="F151" s="112">
        <v>10000</v>
      </c>
      <c r="G151" s="112">
        <v>10000</v>
      </c>
      <c r="H151" s="112">
        <v>10000</v>
      </c>
      <c r="I151" s="112">
        <v>10000</v>
      </c>
    </row>
    <row r="152" spans="1:9" ht="16.2" thickBot="1" x14ac:dyDescent="0.35">
      <c r="A152" s="90" t="s">
        <v>194</v>
      </c>
      <c r="B152" s="95">
        <v>1169319</v>
      </c>
      <c r="C152" s="95">
        <v>1719100</v>
      </c>
      <c r="D152" s="95">
        <v>1927100</v>
      </c>
      <c r="E152" s="91">
        <f>SUM(E144:E151)</f>
        <v>1843198.3369992548</v>
      </c>
      <c r="F152" s="91">
        <f t="shared" ref="F152:I152" si="58">SUM(F144:F151)</f>
        <v>2126779.9989863276</v>
      </c>
      <c r="G152" s="91">
        <f t="shared" si="58"/>
        <v>2366648.8413877212</v>
      </c>
      <c r="H152" s="91">
        <f t="shared" si="58"/>
        <v>2671558.4524963577</v>
      </c>
      <c r="I152" s="91">
        <f t="shared" si="58"/>
        <v>2920495.8211594853</v>
      </c>
    </row>
    <row r="154" spans="1:9" x14ac:dyDescent="0.3">
      <c r="A154" s="116" t="s">
        <v>195</v>
      </c>
      <c r="B154" s="116"/>
      <c r="C154" s="116"/>
      <c r="D154" s="116"/>
      <c r="E154" s="116"/>
      <c r="F154" s="116"/>
      <c r="G154" s="116"/>
      <c r="H154" s="116"/>
      <c r="I154" s="116"/>
    </row>
    <row r="155" spans="1:9" x14ac:dyDescent="0.3">
      <c r="A155" s="69" t="s">
        <v>196</v>
      </c>
      <c r="B155" s="75">
        <v>-127049</v>
      </c>
      <c r="C155" s="75">
        <v>-221312</v>
      </c>
      <c r="D155" s="75">
        <v>-264118</v>
      </c>
      <c r="E155" s="103">
        <f>-1000*E20</f>
        <v>-280000</v>
      </c>
      <c r="F155" s="103">
        <f>-1000*F20</f>
        <v>-295000</v>
      </c>
      <c r="G155" s="103">
        <f>-1000*G20</f>
        <v>-310000</v>
      </c>
      <c r="H155" s="103">
        <f>-1000*H20</f>
        <v>-320000</v>
      </c>
      <c r="I155" s="103">
        <f>-1000*I20</f>
        <v>-330000</v>
      </c>
    </row>
    <row r="156" spans="1:9" x14ac:dyDescent="0.3">
      <c r="A156" s="69" t="s">
        <v>197</v>
      </c>
      <c r="B156" s="75">
        <v>-465000</v>
      </c>
      <c r="C156" s="75">
        <v>167700</v>
      </c>
      <c r="D156" s="75">
        <v>1032036</v>
      </c>
      <c r="E156" s="75"/>
      <c r="F156" s="75"/>
      <c r="G156" s="75"/>
      <c r="H156" s="75"/>
      <c r="I156" s="75"/>
    </row>
    <row r="157" spans="1:9" ht="16.2" thickBot="1" x14ac:dyDescent="0.35">
      <c r="A157" s="68" t="s">
        <v>198</v>
      </c>
      <c r="B157" s="96">
        <v>-592049</v>
      </c>
      <c r="C157" s="96">
        <v>-53612</v>
      </c>
      <c r="D157" s="96">
        <v>764818</v>
      </c>
      <c r="E157" s="88"/>
      <c r="F157" s="88"/>
      <c r="G157" s="88"/>
      <c r="H157" s="88"/>
      <c r="I157" s="88"/>
    </row>
    <row r="159" spans="1:9" x14ac:dyDescent="0.3">
      <c r="A159" s="116" t="s">
        <v>199</v>
      </c>
      <c r="B159" s="116"/>
      <c r="C159" s="116"/>
      <c r="D159" s="116"/>
      <c r="E159" s="116"/>
      <c r="F159" s="116"/>
      <c r="G159" s="116"/>
      <c r="H159" s="116"/>
      <c r="I159" s="116"/>
    </row>
    <row r="160" spans="1:9" x14ac:dyDescent="0.3">
      <c r="A160" s="69" t="s">
        <v>200</v>
      </c>
      <c r="B160" s="75">
        <v>-193000</v>
      </c>
      <c r="C160" s="75">
        <v>-573800</v>
      </c>
      <c r="D160" s="75">
        <v>-3762100</v>
      </c>
      <c r="E160" s="103">
        <f>-1000*E38</f>
        <v>-500000</v>
      </c>
      <c r="F160" s="103">
        <f t="shared" ref="F160:I160" si="59">-1000*F38</f>
        <v>-600000</v>
      </c>
      <c r="G160" s="103">
        <f t="shared" si="59"/>
        <v>-700000</v>
      </c>
      <c r="H160" s="103">
        <f t="shared" si="59"/>
        <v>-700000</v>
      </c>
      <c r="I160" s="103">
        <f t="shared" si="59"/>
        <v>-700000</v>
      </c>
    </row>
    <row r="161" spans="1:9" x14ac:dyDescent="0.3">
      <c r="A161" s="69" t="s">
        <v>201</v>
      </c>
      <c r="B161" s="75">
        <v>171584</v>
      </c>
      <c r="C161" s="75">
        <v>205671</v>
      </c>
      <c r="D161" s="75">
        <v>100328</v>
      </c>
      <c r="E161" s="75"/>
      <c r="F161" s="75"/>
      <c r="G161" s="75"/>
      <c r="H161" s="75"/>
      <c r="I161" s="75"/>
    </row>
    <row r="162" spans="1:9" x14ac:dyDescent="0.3">
      <c r="A162" s="69" t="s">
        <v>202</v>
      </c>
      <c r="B162" s="75">
        <v>0</v>
      </c>
      <c r="C162" s="75">
        <v>0</v>
      </c>
      <c r="D162" s="75">
        <v>744600</v>
      </c>
      <c r="E162" s="94" t="s">
        <v>276</v>
      </c>
      <c r="F162" s="94" t="s">
        <v>276</v>
      </c>
      <c r="G162" s="94" t="s">
        <v>276</v>
      </c>
      <c r="H162" s="94" t="s">
        <v>276</v>
      </c>
      <c r="I162" s="94" t="s">
        <v>276</v>
      </c>
    </row>
    <row r="163" spans="1:9" ht="16.2" thickBot="1" x14ac:dyDescent="0.35">
      <c r="A163" s="97" t="s">
        <v>203</v>
      </c>
      <c r="B163" s="98">
        <v>-160378</v>
      </c>
      <c r="C163" s="98">
        <v>-583529</v>
      </c>
      <c r="D163" s="98">
        <v>-2942890</v>
      </c>
      <c r="E163" s="99"/>
      <c r="F163" s="99"/>
      <c r="G163" s="99"/>
      <c r="H163" s="99"/>
      <c r="I163" s="99"/>
    </row>
    <row r="165" spans="1:9" x14ac:dyDescent="0.3">
      <c r="A165" s="69" t="s">
        <v>204</v>
      </c>
      <c r="B165" s="75">
        <v>-24131</v>
      </c>
      <c r="C165" s="75">
        <v>-15831</v>
      </c>
      <c r="D165" s="75">
        <v>-17741</v>
      </c>
      <c r="E165" s="75">
        <v>-20000</v>
      </c>
      <c r="F165" s="75">
        <v>-20000</v>
      </c>
      <c r="G165" s="75">
        <v>-20000</v>
      </c>
      <c r="H165" s="75">
        <v>-20000</v>
      </c>
      <c r="I165" s="75">
        <v>-20000</v>
      </c>
    </row>
    <row r="166" spans="1:9" ht="16.2" thickBot="1" x14ac:dyDescent="0.35">
      <c r="A166" s="100" t="s">
        <v>205</v>
      </c>
      <c r="B166" s="96">
        <v>84258</v>
      </c>
      <c r="C166" s="96">
        <v>341538</v>
      </c>
      <c r="D166" s="96">
        <v>-268713</v>
      </c>
      <c r="E166" s="88"/>
      <c r="F166" s="88"/>
      <c r="G166" s="88"/>
      <c r="H166" s="88"/>
      <c r="I166" s="88"/>
    </row>
    <row r="167" spans="1:9" x14ac:dyDescent="0.3">
      <c r="A167" s="69" t="s">
        <v>206</v>
      </c>
      <c r="B167" s="75">
        <v>1376204</v>
      </c>
      <c r="C167" s="75">
        <v>1460462</v>
      </c>
      <c r="D167" s="75">
        <v>1802000</v>
      </c>
      <c r="E167" s="94"/>
      <c r="F167" s="94"/>
      <c r="G167" s="94"/>
      <c r="H167" s="94"/>
      <c r="I167" s="94"/>
    </row>
    <row r="168" spans="1:9" x14ac:dyDescent="0.3">
      <c r="A168" s="69" t="s">
        <v>207</v>
      </c>
      <c r="B168" s="75">
        <v>1460462</v>
      </c>
      <c r="C168" s="75">
        <v>1802000</v>
      </c>
      <c r="D168" s="75">
        <v>1533287</v>
      </c>
      <c r="E168" s="87"/>
      <c r="F168" s="87"/>
      <c r="G168" s="87"/>
      <c r="H168" s="87"/>
      <c r="I168" s="87"/>
    </row>
    <row r="169" spans="1:9" x14ac:dyDescent="0.3">
      <c r="A169" s="101" t="s">
        <v>208</v>
      </c>
    </row>
    <row r="170" spans="1:9" ht="16.2" thickBot="1" x14ac:dyDescent="0.35">
      <c r="A170" s="69" t="s">
        <v>209</v>
      </c>
      <c r="B170" s="95">
        <v>1042270</v>
      </c>
      <c r="C170" s="95">
        <v>1497788</v>
      </c>
      <c r="D170" s="95">
        <v>1662982</v>
      </c>
      <c r="E170" s="91"/>
      <c r="F170" s="91"/>
      <c r="G170" s="91"/>
      <c r="H170" s="91"/>
      <c r="I170" s="91"/>
    </row>
    <row r="171" spans="1:9" x14ac:dyDescent="0.3">
      <c r="A171" s="72" t="s">
        <v>210</v>
      </c>
      <c r="B171" s="89" t="e">
        <f>B170/'Income Statement'!B140</f>
        <v>#DIV/0!</v>
      </c>
      <c r="C171" s="89" t="e">
        <f>C170/'Income Statement'!C140</f>
        <v>#DIV/0!</v>
      </c>
      <c r="D171" s="89" t="e">
        <f>D170/'Income Statement'!D140</f>
        <v>#DIV/0!</v>
      </c>
      <c r="E171" s="89"/>
      <c r="F171" s="89"/>
      <c r="G171" s="89"/>
      <c r="H171" s="89"/>
      <c r="I171" s="89"/>
    </row>
    <row r="172" spans="1:9" x14ac:dyDescent="0.3">
      <c r="A172" s="72" t="s">
        <v>211</v>
      </c>
      <c r="B172" s="102" t="e">
        <f>B170/'Income Statement'!B175/1000</f>
        <v>#DIV/0!</v>
      </c>
      <c r="C172" s="102" t="e">
        <f>C170/'Income Statement'!C175/1000</f>
        <v>#DIV/0!</v>
      </c>
      <c r="D172" s="102" t="e">
        <f>D170/'Income Statement'!D175/1000</f>
        <v>#DIV/0!</v>
      </c>
      <c r="E172" s="102"/>
      <c r="F172" s="102"/>
      <c r="G172" s="102"/>
      <c r="H172" s="102"/>
      <c r="I172" s="102"/>
    </row>
    <row r="174" spans="1:9" x14ac:dyDescent="0.3">
      <c r="A174" s="114" t="s">
        <v>212</v>
      </c>
      <c r="B174" s="114"/>
      <c r="C174" s="114"/>
      <c r="D174" s="114"/>
      <c r="E174" s="114"/>
      <c r="F174" s="114"/>
      <c r="G174" s="114"/>
      <c r="H174" s="114"/>
      <c r="I174" s="114"/>
    </row>
    <row r="175" spans="1:9" x14ac:dyDescent="0.3">
      <c r="A175" s="115" t="s">
        <v>213</v>
      </c>
      <c r="B175" s="115"/>
      <c r="C175" s="115"/>
      <c r="D175" s="115"/>
      <c r="E175" s="115"/>
      <c r="F175" s="115"/>
      <c r="G175" s="115"/>
      <c r="H175" s="115"/>
      <c r="I175" s="115"/>
    </row>
    <row r="176" spans="1:9" x14ac:dyDescent="0.3">
      <c r="A176" s="86"/>
      <c r="B176" s="67" t="s">
        <v>3</v>
      </c>
      <c r="C176" s="67" t="s">
        <v>4</v>
      </c>
      <c r="D176" s="67" t="s">
        <v>5</v>
      </c>
      <c r="E176" s="67" t="s">
        <v>6</v>
      </c>
      <c r="F176" s="67" t="s">
        <v>7</v>
      </c>
      <c r="G176" s="64" t="s">
        <v>214</v>
      </c>
    </row>
    <row r="177" spans="1:7" x14ac:dyDescent="0.3">
      <c r="A177" s="69" t="s">
        <v>215</v>
      </c>
      <c r="B177" s="124">
        <f>D42</f>
        <v>7.0000000000000007E-2</v>
      </c>
      <c r="G177" s="72" t="s">
        <v>216</v>
      </c>
    </row>
    <row r="178" spans="1:7" x14ac:dyDescent="0.3">
      <c r="A178" s="69" t="s">
        <v>217</v>
      </c>
      <c r="B178" s="124">
        <f>D43</f>
        <v>0.05</v>
      </c>
    </row>
    <row r="180" spans="1:7" x14ac:dyDescent="0.3">
      <c r="A180" s="116" t="s">
        <v>218</v>
      </c>
      <c r="B180" s="116"/>
      <c r="C180" s="116"/>
      <c r="D180" s="116"/>
      <c r="E180" s="116"/>
      <c r="F180" s="116"/>
      <c r="G180" s="116"/>
    </row>
    <row r="181" spans="1:7" x14ac:dyDescent="0.3">
      <c r="A181" s="69" t="s">
        <v>219</v>
      </c>
      <c r="B181" s="94">
        <f>E80</f>
        <v>2322579.8965600003</v>
      </c>
      <c r="C181" s="94">
        <f t="shared" ref="C181:F181" si="60">F80</f>
        <v>2639392.513575553</v>
      </c>
      <c r="D181" s="94">
        <f t="shared" si="60"/>
        <v>2998546.969484868</v>
      </c>
      <c r="E181" s="94">
        <f t="shared" si="60"/>
        <v>3358951.4900586917</v>
      </c>
      <c r="F181" s="94">
        <f t="shared" si="60"/>
        <v>3761134.8970605284</v>
      </c>
    </row>
    <row r="182" spans="1:7" x14ac:dyDescent="0.3">
      <c r="A182" s="69" t="s">
        <v>220</v>
      </c>
      <c r="B182" s="87">
        <f>B181*(1-E27)</f>
        <v>1765160.7213856003</v>
      </c>
      <c r="C182" s="87">
        <f t="shared" ref="C182:F182" si="61">C181*(1-F27)</f>
        <v>2005938.3103174202</v>
      </c>
      <c r="D182" s="87">
        <f t="shared" si="61"/>
        <v>2278895.6968084997</v>
      </c>
      <c r="E182" s="87">
        <f t="shared" si="61"/>
        <v>2552803.1324446057</v>
      </c>
      <c r="F182" s="87">
        <f t="shared" si="61"/>
        <v>2858462.5217660018</v>
      </c>
    </row>
    <row r="183" spans="1:7" x14ac:dyDescent="0.3">
      <c r="A183" s="69" t="s">
        <v>221</v>
      </c>
      <c r="B183" s="94">
        <f>E82</f>
        <v>94260.160000000003</v>
      </c>
      <c r="C183" s="94">
        <f t="shared" ref="C183:F183" si="62">F82</f>
        <v>84863.644</v>
      </c>
      <c r="D183" s="94">
        <f t="shared" si="62"/>
        <v>76408.279599999994</v>
      </c>
      <c r="E183" s="94">
        <f t="shared" si="62"/>
        <v>68799.451639999999</v>
      </c>
      <c r="F183" s="94">
        <f t="shared" si="62"/>
        <v>61952.506476000002</v>
      </c>
    </row>
    <row r="184" spans="1:7" x14ac:dyDescent="0.3">
      <c r="A184" s="69" t="s">
        <v>222</v>
      </c>
      <c r="B184" s="94">
        <f>-1000*E20</f>
        <v>-280000</v>
      </c>
      <c r="C184" s="94">
        <f t="shared" ref="C184:F184" si="63">-1000*F20</f>
        <v>-295000</v>
      </c>
      <c r="D184" s="94">
        <f t="shared" si="63"/>
        <v>-310000</v>
      </c>
      <c r="E184" s="94">
        <f t="shared" si="63"/>
        <v>-320000</v>
      </c>
      <c r="F184" s="94">
        <f t="shared" si="63"/>
        <v>-330000</v>
      </c>
    </row>
    <row r="185" spans="1:7" x14ac:dyDescent="0.3">
      <c r="A185" s="69" t="s">
        <v>223</v>
      </c>
      <c r="B185" s="94">
        <f>-1*(F148+F149-F150+F151)</f>
        <v>186325.38202718471</v>
      </c>
      <c r="C185" s="94">
        <f t="shared" ref="C185:F185" si="64">-1*(G148+G149-G150+G151)</f>
        <v>229875.15861271648</v>
      </c>
      <c r="D185" s="94">
        <f t="shared" si="64"/>
        <v>228952.29616891989</v>
      </c>
      <c r="E185" s="94">
        <f t="shared" si="64"/>
        <v>310061.63477892522</v>
      </c>
      <c r="F185" s="94">
        <f t="shared" si="64"/>
        <v>0</v>
      </c>
    </row>
    <row r="186" spans="1:7" ht="16.2" thickBot="1" x14ac:dyDescent="0.35">
      <c r="A186" s="100" t="s">
        <v>224</v>
      </c>
      <c r="B186" s="91">
        <f>SUM(B181:B185)</f>
        <v>4088326.159972785</v>
      </c>
      <c r="C186" s="91">
        <f t="shared" ref="C186:F186" si="65">SUM(C181:C185)</f>
        <v>4665069.6265056897</v>
      </c>
      <c r="D186" s="91">
        <f t="shared" si="65"/>
        <v>5272803.2420622874</v>
      </c>
      <c r="E186" s="91">
        <f t="shared" si="65"/>
        <v>5970615.7089222223</v>
      </c>
      <c r="F186" s="91">
        <f t="shared" si="65"/>
        <v>6351549.9253025297</v>
      </c>
    </row>
    <row r="187" spans="1:7" x14ac:dyDescent="0.3">
      <c r="A187" s="69" t="s">
        <v>225</v>
      </c>
      <c r="B187" s="74">
        <v>1</v>
      </c>
      <c r="C187" s="74">
        <v>2</v>
      </c>
      <c r="D187" s="74">
        <v>3</v>
      </c>
      <c r="E187" s="74">
        <v>4</v>
      </c>
      <c r="F187" s="74">
        <v>5</v>
      </c>
    </row>
    <row r="188" spans="1:7" x14ac:dyDescent="0.3">
      <c r="A188" s="69" t="s">
        <v>226</v>
      </c>
      <c r="B188" s="125">
        <f>1/(1+0.09)^B187</f>
        <v>0.9174311926605504</v>
      </c>
      <c r="C188" s="125">
        <f t="shared" ref="C188:F188" si="66">1/(1+0.09)^C187</f>
        <v>0.84167999326655996</v>
      </c>
      <c r="D188" s="125">
        <f t="shared" si="66"/>
        <v>0.77218348006106419</v>
      </c>
      <c r="E188" s="125">
        <f t="shared" si="66"/>
        <v>0.7084252110651964</v>
      </c>
      <c r="F188" s="125">
        <f t="shared" si="66"/>
        <v>0.64993138629834524</v>
      </c>
    </row>
    <row r="189" spans="1:7" ht="16.2" thickBot="1" x14ac:dyDescent="0.35">
      <c r="A189" s="100" t="s">
        <v>227</v>
      </c>
      <c r="B189" s="126">
        <f>B186*B188</f>
        <v>3750757.9449291602</v>
      </c>
      <c r="C189" s="126">
        <f t="shared" ref="C189:F189" si="67">C186*C188</f>
        <v>3926495.7718253424</v>
      </c>
      <c r="D189" s="126">
        <f t="shared" si="67"/>
        <v>4071571.5571329189</v>
      </c>
      <c r="E189" s="126">
        <f t="shared" si="67"/>
        <v>4229734.6937824022</v>
      </c>
      <c r="F189" s="126">
        <f t="shared" si="67"/>
        <v>4128071.6480950243</v>
      </c>
    </row>
    <row r="191" spans="1:7" x14ac:dyDescent="0.3">
      <c r="A191" s="116" t="s">
        <v>228</v>
      </c>
      <c r="B191" s="116"/>
      <c r="C191" s="116"/>
      <c r="D191" s="116"/>
      <c r="E191" s="116"/>
      <c r="F191" s="116"/>
      <c r="G191" s="116"/>
    </row>
    <row r="192" spans="1:7" x14ac:dyDescent="0.3">
      <c r="A192" s="69" t="s">
        <v>229</v>
      </c>
      <c r="B192" s="127">
        <f>SUM(B189:F189)</f>
        <v>20106631.615764849</v>
      </c>
    </row>
    <row r="193" spans="1:7" x14ac:dyDescent="0.3">
      <c r="A193" s="69" t="s">
        <v>230</v>
      </c>
      <c r="B193" s="87">
        <f>B192*20.8</f>
        <v>418217937.60790884</v>
      </c>
    </row>
    <row r="194" spans="1:7" x14ac:dyDescent="0.3">
      <c r="A194" s="69" t="s">
        <v>231</v>
      </c>
      <c r="B194" s="87">
        <f>B193/(1+B177)^5</f>
        <v>298183609.52660209</v>
      </c>
    </row>
    <row r="195" spans="1:7" ht="16.2" thickBot="1" x14ac:dyDescent="0.35">
      <c r="A195" s="100" t="s">
        <v>232</v>
      </c>
      <c r="B195" s="88">
        <f>B193-B194</f>
        <v>120034328.08130676</v>
      </c>
      <c r="G195" s="72" t="s">
        <v>233</v>
      </c>
    </row>
    <row r="196" spans="1:7" x14ac:dyDescent="0.3">
      <c r="A196" s="69" t="s">
        <v>234</v>
      </c>
      <c r="B196" s="94">
        <f>D47*1000</f>
        <v>-1159300</v>
      </c>
    </row>
    <row r="197" spans="1:7" ht="16.2" thickBot="1" x14ac:dyDescent="0.35">
      <c r="A197" s="100" t="s">
        <v>235</v>
      </c>
      <c r="B197" s="91">
        <f>B195+B196</f>
        <v>118875028.08130676</v>
      </c>
    </row>
    <row r="198" spans="1:7" x14ac:dyDescent="0.3">
      <c r="A198" s="69" t="s">
        <v>277</v>
      </c>
      <c r="B198" s="128">
        <f>E39*1000</f>
        <v>985000</v>
      </c>
    </row>
    <row r="199" spans="1:7" ht="16.2" thickBot="1" x14ac:dyDescent="0.35">
      <c r="A199" s="100" t="s">
        <v>237</v>
      </c>
      <c r="B199" s="129">
        <f>B197/B198</f>
        <v>120.68530769675813</v>
      </c>
    </row>
    <row r="200" spans="1:7" x14ac:dyDescent="0.3">
      <c r="A200" s="69" t="s">
        <v>238</v>
      </c>
      <c r="B200" s="130">
        <v>77</v>
      </c>
    </row>
    <row r="201" spans="1:7" x14ac:dyDescent="0.3">
      <c r="A201" s="100" t="s">
        <v>239</v>
      </c>
      <c r="B201" s="131">
        <f>(B199-B200)/B200</f>
        <v>0.56734165839945627</v>
      </c>
    </row>
    <row r="203" spans="1:7" x14ac:dyDescent="0.3">
      <c r="A203" s="116" t="s">
        <v>240</v>
      </c>
      <c r="B203" s="116"/>
      <c r="C203" s="116"/>
      <c r="D203" s="116"/>
      <c r="E203" s="116"/>
      <c r="F203" s="116"/>
      <c r="G203" s="116"/>
    </row>
    <row r="204" spans="1:7" x14ac:dyDescent="0.3">
      <c r="A204" s="69" t="s">
        <v>241</v>
      </c>
      <c r="B204" s="94">
        <f>I83</f>
        <v>3823087.4035365283</v>
      </c>
    </row>
    <row r="205" spans="1:7" x14ac:dyDescent="0.3">
      <c r="A205" s="69" t="s">
        <v>242</v>
      </c>
      <c r="B205" s="132">
        <f>D44</f>
        <v>20</v>
      </c>
    </row>
    <row r="206" spans="1:7" x14ac:dyDescent="0.3">
      <c r="A206" s="69" t="s">
        <v>243</v>
      </c>
      <c r="B206" s="87">
        <f>B204*B205</f>
        <v>76461748.070730567</v>
      </c>
    </row>
    <row r="207" spans="1:7" x14ac:dyDescent="0.3">
      <c r="A207" s="69" t="s">
        <v>244</v>
      </c>
      <c r="B207" s="94">
        <f>B196</f>
        <v>-1159300</v>
      </c>
    </row>
    <row r="208" spans="1:7" x14ac:dyDescent="0.3">
      <c r="A208" s="69" t="s">
        <v>245</v>
      </c>
      <c r="B208" s="87">
        <f>B206+B207</f>
        <v>75302448.070730567</v>
      </c>
    </row>
    <row r="209" spans="1:7" x14ac:dyDescent="0.3">
      <c r="A209" s="69" t="s">
        <v>246</v>
      </c>
      <c r="B209" s="128">
        <f>I39</f>
        <v>893</v>
      </c>
    </row>
    <row r="210" spans="1:7" ht="16.2" thickBot="1" x14ac:dyDescent="0.35">
      <c r="A210" s="100" t="s">
        <v>247</v>
      </c>
      <c r="B210" s="129">
        <f>B208/B209/1000</f>
        <v>84.325249799250344</v>
      </c>
    </row>
    <row r="212" spans="1:7" x14ac:dyDescent="0.3">
      <c r="A212" s="116" t="s">
        <v>248</v>
      </c>
      <c r="B212" s="116"/>
      <c r="C212" s="116"/>
      <c r="D212" s="116"/>
      <c r="E212" s="116"/>
      <c r="F212" s="116"/>
      <c r="G212" s="116"/>
    </row>
    <row r="213" spans="1:7" x14ac:dyDescent="0.3">
      <c r="A213" s="69" t="s">
        <v>249</v>
      </c>
      <c r="B213" s="130">
        <f>I100</f>
        <v>2.8406463626985379</v>
      </c>
    </row>
    <row r="214" spans="1:7" x14ac:dyDescent="0.3">
      <c r="A214" s="69" t="s">
        <v>250</v>
      </c>
      <c r="B214" s="132">
        <f>D45</f>
        <v>25</v>
      </c>
    </row>
    <row r="215" spans="1:7" ht="16.2" thickBot="1" x14ac:dyDescent="0.35">
      <c r="A215" s="100" t="s">
        <v>251</v>
      </c>
      <c r="B215" s="129">
        <f>B213*B214</f>
        <v>71.016159067463448</v>
      </c>
    </row>
    <row r="217" spans="1:7" x14ac:dyDescent="0.3">
      <c r="A217" s="116" t="s">
        <v>252</v>
      </c>
      <c r="B217" s="116"/>
      <c r="C217" s="116"/>
      <c r="D217" s="116"/>
      <c r="E217" s="116"/>
      <c r="F217" s="116"/>
      <c r="G217" s="116"/>
    </row>
    <row r="218" spans="1:7" x14ac:dyDescent="0.3">
      <c r="A218" s="101" t="s">
        <v>35</v>
      </c>
      <c r="B218" s="67" t="s">
        <v>36</v>
      </c>
      <c r="C218" s="67" t="s">
        <v>253</v>
      </c>
    </row>
    <row r="219" spans="1:7" x14ac:dyDescent="0.3">
      <c r="A219" s="69" t="s">
        <v>254</v>
      </c>
      <c r="B219" s="133">
        <f>B199</f>
        <v>120.68530769675813</v>
      </c>
      <c r="C219" s="134">
        <f>(B199-B200)/B200</f>
        <v>0.56734165839945627</v>
      </c>
    </row>
    <row r="220" spans="1:7" x14ac:dyDescent="0.3">
      <c r="A220" s="116" t="s">
        <v>255</v>
      </c>
      <c r="B220" s="116"/>
      <c r="C220" s="116"/>
      <c r="D220" s="116"/>
      <c r="E220" s="116"/>
      <c r="F220" s="116"/>
      <c r="G220" s="116"/>
    </row>
    <row r="221" spans="1:7" x14ac:dyDescent="0.3">
      <c r="A221" s="135" t="s">
        <v>256</v>
      </c>
      <c r="B221" s="136" t="s">
        <v>257</v>
      </c>
      <c r="C221" s="137" t="s">
        <v>258</v>
      </c>
      <c r="D221" s="135" t="s">
        <v>259</v>
      </c>
      <c r="E221" s="135" t="s">
        <v>260</v>
      </c>
      <c r="F221" s="135" t="s">
        <v>261</v>
      </c>
    </row>
    <row r="222" spans="1:7" x14ac:dyDescent="0.3">
      <c r="A222" s="135" t="s">
        <v>262</v>
      </c>
      <c r="B222" s="138">
        <f>(B186/(1+0.075)^1 + C186/(1+0.075)^2 + D186/(1+0.075)^3 + E186/(1+0.075)^4 + F186/(1+0.075)^5+(F186*(1+0.03)/(0.075-0.03))/(1+0.075)^5-B196)/(B198*1000)</f>
        <v>0.12528354865745625</v>
      </c>
      <c r="C222" s="138">
        <f>(B186/(1+0.075)^1 + C186/(1+0.075)^2 + D186/(1+0.075)^3 + E186/(1+0.075)^4 + F186/(1+0.075)^5+(F186*(1+0.035)/(0.075-0.035))/(1+0.075)^5-B196)/(B198*1000)</f>
        <v>0.13869596814129054</v>
      </c>
      <c r="D222" s="139">
        <f>(B186/(1+0.075)^1 + C186/(1+0.075)^2 + D186/(1+0.075)^3 + E186/(1+0.075)^4 + F186/(1+0.075)^5+(F186*(1+0.04)/(0.075-0.04))/(1+0.075)^5-B196)/(B198*1000)</f>
        <v>0.15594050747764884</v>
      </c>
      <c r="E222" s="139">
        <f>(B186/(1+0.075)^1 + C186/(1+0.075)^2 + D186/(1+0.075)^3 + E186/(1+0.075)^4 + F186/(1+0.075)^5+(F186*(1+0.045)/(0.075-0.045))/(1+0.075)^5-B196)/(B198*1000)</f>
        <v>0.17893322659279329</v>
      </c>
      <c r="F222" s="139">
        <f>(B186/(1+0.075)^1 + C186/(1+0.075)^2 + D186/(1+0.075)^3 + E186/(1+0.075)^4 + F186/(1+0.075)^5+(F186*(1+0.05)/(0.075-0.05))/(1+0.075)^5-B196)/(B198*1000)</f>
        <v>0.21112303335399552</v>
      </c>
    </row>
    <row r="223" spans="1:7" x14ac:dyDescent="0.3">
      <c r="A223" s="135" t="s">
        <v>263</v>
      </c>
      <c r="B223" s="138">
        <f>(B186/(1+0.08)^1 + C186/(1+0.08)^2 + D186/(1+0.08)^3 + E186/(1+0.08)^4 + F186/(1+0.08)^5+(F186*(1+0.03)/(0.08-0.03))/(1+0.08)^5-B196)/(B198*1000)</f>
        <v>0.11257889401786893</v>
      </c>
      <c r="C223" s="138">
        <f>(B186/(1+0.08)^1 + C186/(1+0.08)^2 + D186/(1+0.08)^3 + E186/(1+0.08)^4 + F186/(1+0.08)^5+(F186*(1+0.035)/(0.08-0.035))/(1+0.08)^5-B196)/(B198*1000)</f>
        <v>0.12311150271865731</v>
      </c>
      <c r="D223" s="139">
        <f>(B186/(1+0.08)^1 + C186/(1+0.08)^2 + D186/(1+0.08)^3 + E186/(1+0.08)^4 + F186/(1+0.08)^5+(F186*(1+0.04)/(0.08-0.04))/(1+0.08)^5-B196)/(B198*1000)</f>
        <v>0.13627726359464276</v>
      </c>
      <c r="E223" s="139">
        <f>(B186/(1+0.08)^1 + C186/(1+0.08)^2 + D186/(1+0.08)^3 + E186/(1+0.08)^4 + F186/(1+0.08)^5+(F186*(1+0.045)/(0.08-0.045))/(1+0.08)^5-B196)/(B198*1000)</f>
        <v>0.15320467043519548</v>
      </c>
      <c r="F223" s="139">
        <f>(B186/(1+0.08)^1 + C186/(1+0.08)^2 + D186/(1+0.08)^3 + E186/(1+0.08)^4 + F186/(1+0.08)^5+(F186*(1+0.05)/(0.08-0.05))/(1+0.08)^5-B196)/(B198*1000)</f>
        <v>0.17577454622259914</v>
      </c>
    </row>
    <row r="224" spans="1:7" x14ac:dyDescent="0.3">
      <c r="A224" s="135" t="s">
        <v>264</v>
      </c>
      <c r="B224" s="138">
        <f>(B186/(1+0.085)^1 + C186/(1+0.085)^2 + D186/(1+0.085)^3 + E186/(1+0.085)^4 + F186/(1+0.085)^5+(F186*(1+0.03)/(0.085-0.03))/(1+0.085)^5-B196)/(B198*1000)</f>
        <v>0.10218866905060624</v>
      </c>
      <c r="C224" s="138">
        <f>(B186/(1+0.085)^1 + C186/(1+0.085)^2 + D186/(1+0.085)^3 + E186/(1+0.085)^4 + F186/(1+0.085)^5+(F186*(1+0.035)/(0.085-0.035))/(1+0.085)^5-B196)/(B198*1000)</f>
        <v>0.11064850309092436</v>
      </c>
      <c r="D224" s="138">
        <f>(B186/(1+0.085)^1 + C186/(1+0.085)^2 + D186/(1+0.085)^3 + E186/(1+0.085)^4 + F186/(1+0.085)^5+(F186*(1+0.04)/(0.085-0.04))/(1+0.085)^5-B196)/(B198*1000)</f>
        <v>0.12098830025131317</v>
      </c>
      <c r="E224" s="138">
        <f>(B186/(1+0.085)^1 + C186/(1+0.085)^2 + D186/(1+0.085)^3 + E186/(1+0.085)^4 + F186/(1+0.085)^5+(F186*(1+0.045)/(0.085-0.045))/(1+0.085)^5-B196)/(B198*1000)</f>
        <v>0.13391304670179918</v>
      </c>
      <c r="F224" s="138">
        <f>(B186/(1+0.085)^1 + C186/(1+0.085)^2 + D186/(1+0.085)^3 + E186/(1+0.085)^4 + F186/(1+0.085)^5+(F186*(1+0.05)/(0.085-0.05))/(1+0.085)^5-B196)/(B198*1000)</f>
        <v>0.15053057785242407</v>
      </c>
    </row>
    <row r="225" spans="1:6" x14ac:dyDescent="0.3">
      <c r="A225" s="135" t="s">
        <v>265</v>
      </c>
      <c r="B225" s="138">
        <f>(B186/(1+0.09)^1 + C186/(1+0.09)^2 + D186/(1+0.09)^3 + E186/(1+0.09)^4 + F186/(1+0.09)^5+(F186*(1+0.03)/(0.09-0.03))/(1+0.09)^5-B196)/(B198*1000)</f>
        <v>9.3534174187542576E-2</v>
      </c>
      <c r="C225" s="138">
        <f>(B186/(1+0.09)^1 + C186/(1+0.09)^2 + D186/(1+0.09)^3 + E186/(1+0.09)^4 + F186/(1+0.09)^5+(F186*(1+0.035)/(0.09-0.035))/(1+0.09)^5-B196)/(B198*1000)</f>
        <v>0.10045556796761271</v>
      </c>
      <c r="D225" s="140">
        <f>(B186/(1+0.09)^1 + C186/(1+0.09)^2 + D186/(1+0.09)^3 + E186/(1+0.09)^4 + F186/(1+0.09)^5+(F186*(1+0.04)/(0.09-0.04))/(1+0.09)^5-B196)/(B198*1000)</f>
        <v>0.1087612405036968</v>
      </c>
      <c r="E225" s="138">
        <f>(B186/(1+0.09)^1 + C186/(1+0.09)^2 + D186/(1+0.09)^3 + E186/(1+0.09)^4 + F186/(1+0.09)^5+(F186*(1+0.045)/(0.09-0.045))/(1+0.09)^5-B196)/(B198*1000)</f>
        <v>0.11891261804779965</v>
      </c>
      <c r="F225" s="138">
        <f>(B186/(1+0.09)^1 + C186/(1+0.09)^2 + D186/(1+0.09)^3 + E186/(1+0.09)^4 + F186/(1+0.09)^5+(F186*(1+0.05)/(0.09-0.05))/(1+0.09)^5-B196)/(B198*1000)</f>
        <v>0.13160183997792815</v>
      </c>
    </row>
    <row r="226" spans="1:6" x14ac:dyDescent="0.3">
      <c r="A226" s="135" t="s">
        <v>266</v>
      </c>
      <c r="B226" s="138">
        <f>(B186/(1+0.095)^1 + C186/(1+0.095)^2 + D186/(1+0.095)^3 + E186/(1+0.095)^4 + F186/(1+0.095)^5+(F186*(1+0.03)/(0.095-0.03))/(1+0.095)^5-B196)/(B198*1000)</f>
        <v>8.6214773606207856E-2</v>
      </c>
      <c r="C226" s="138">
        <f>(B186/(1+0.095)^1 + C186/(1+0.095)^2 + D186/(1+0.095)^3 + E186/(1+0.095)^4 + F186/(1+0.095)^5+(F186*(1+0.035)/(0.095-0.035))/(1+0.095)^5-B196)/(B198*1000)</f>
        <v>9.1965098807064771E-2</v>
      </c>
      <c r="D226" s="138">
        <f>(B186/(1+0.095)^1 + C186/(1+0.095)^2 + D186/(1+0.095)^3 + E186/(1+0.095)^4 + F186/(1+0.095)^5+(F186*(1+0.04)/(0.095-0.04))/(1+0.095)^5-B196)/(B198*1000)</f>
        <v>9.8760937680804753E-2</v>
      </c>
      <c r="E226" s="138">
        <f>(B186/(1+0.095)^1 + C186/(1+0.095)^2 + D186/(1+0.095)^3 + E186/(1+0.095)^4 + F186/(1+0.095)^5+(F186*(1+0.045)/(0.095-0.045))/(1+0.095)^5-B196)/(B198*1000)</f>
        <v>0.10691594432929273</v>
      </c>
      <c r="F226" s="138">
        <f>(B186/(1+0.095)^1 + C186/(1+0.095)^2 + D186/(1+0.095)^3 + E186/(1+0.095)^4 + F186/(1+0.095)^5+(F186*(1+0.05)/(0.095-0.05))/(1+0.095)^5-B196)/(B198*1000)</f>
        <v>0.1168831746774447</v>
      </c>
    </row>
  </sheetData>
  <dataConsolidate topLabels="1"/>
  <mergeCells count="35">
    <mergeCell ref="A203:G203"/>
    <mergeCell ref="A212:G212"/>
    <mergeCell ref="A217:G217"/>
    <mergeCell ref="A220:G220"/>
    <mergeCell ref="A86:I86"/>
    <mergeCell ref="A174:I174"/>
    <mergeCell ref="A175:I175"/>
    <mergeCell ref="A180:G180"/>
    <mergeCell ref="A191:G191"/>
    <mergeCell ref="A72:I72"/>
    <mergeCell ref="A29:H29"/>
    <mergeCell ref="A37:H37"/>
    <mergeCell ref="A41:H41"/>
    <mergeCell ref="A55:I55"/>
    <mergeCell ref="A1:I1"/>
    <mergeCell ref="A2:I2"/>
    <mergeCell ref="A56:I56"/>
    <mergeCell ref="A59:I59"/>
    <mergeCell ref="A67:I67"/>
    <mergeCell ref="A5:H5"/>
    <mergeCell ref="A11:H11"/>
    <mergeCell ref="A18:H18"/>
    <mergeCell ref="A23:H23"/>
    <mergeCell ref="A103:I103"/>
    <mergeCell ref="A104:I104"/>
    <mergeCell ref="A107:I107"/>
    <mergeCell ref="A115:I115"/>
    <mergeCell ref="A159:I159"/>
    <mergeCell ref="A127:I127"/>
    <mergeCell ref="A132:I132"/>
    <mergeCell ref="A139:I139"/>
    <mergeCell ref="A140:I140"/>
    <mergeCell ref="A143:I143"/>
    <mergeCell ref="A154:I154"/>
    <mergeCell ref="A122:I1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9A8F-755D-49C2-B984-EF4DFCD4B42C}">
  <sheetPr>
    <tabColor rgb="FFFFFF00"/>
  </sheetPr>
  <dimension ref="A1:J47"/>
  <sheetViews>
    <sheetView showGridLines="0" topLeftCell="A5" zoomScale="85" zoomScaleNormal="85" workbookViewId="0">
      <selection activeCell="E6" sqref="E6"/>
    </sheetView>
  </sheetViews>
  <sheetFormatPr defaultColWidth="8.6640625" defaultRowHeight="14.4" x14ac:dyDescent="0.3"/>
  <cols>
    <col min="1" max="1" width="44" customWidth="1"/>
    <col min="2" max="7" width="13" customWidth="1"/>
    <col min="8" max="8" width="10.33203125" customWidth="1"/>
  </cols>
  <sheetData>
    <row r="1" spans="1:10" ht="25.5" customHeight="1" x14ac:dyDescent="0.3">
      <c r="A1" s="123" t="s">
        <v>46</v>
      </c>
      <c r="B1" s="123"/>
      <c r="C1" s="123"/>
      <c r="D1" s="123"/>
      <c r="E1" s="123"/>
      <c r="F1" s="123"/>
      <c r="G1" s="123"/>
      <c r="H1" s="123"/>
    </row>
    <row r="2" spans="1:10" ht="18" customHeight="1" x14ac:dyDescent="0.3">
      <c r="A2" s="119" t="s">
        <v>47</v>
      </c>
      <c r="B2" s="119"/>
      <c r="C2" s="119"/>
      <c r="D2" s="119"/>
      <c r="E2" s="119"/>
      <c r="F2" s="119"/>
      <c r="G2" s="119"/>
      <c r="H2" s="119"/>
    </row>
    <row r="4" spans="1:10" ht="21.75" customHeight="1" x14ac:dyDescent="0.3">
      <c r="A4" s="3" t="s">
        <v>48</v>
      </c>
      <c r="B4" s="4" t="s">
        <v>267</v>
      </c>
      <c r="C4" s="4" t="s">
        <v>268</v>
      </c>
      <c r="D4" s="4" t="s">
        <v>49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  <c r="J4" s="3" t="s">
        <v>50</v>
      </c>
    </row>
    <row r="5" spans="1:10" ht="15" customHeight="1" x14ac:dyDescent="0.3">
      <c r="A5" s="122" t="s">
        <v>51</v>
      </c>
      <c r="B5" s="122"/>
      <c r="C5" s="122"/>
      <c r="D5" s="122"/>
      <c r="E5" s="122"/>
      <c r="F5" s="122"/>
      <c r="G5" s="122"/>
      <c r="H5" s="122"/>
    </row>
    <row r="6" spans="1:10" ht="15" customHeight="1" x14ac:dyDescent="0.3">
      <c r="A6" s="7" t="s">
        <v>52</v>
      </c>
      <c r="B6" s="18">
        <v>0.25700000000000001</v>
      </c>
      <c r="C6" s="18">
        <v>0.129</v>
      </c>
      <c r="D6" s="18">
        <v>4.9000000000000002E-2</v>
      </c>
      <c r="E6" s="19">
        <v>7.0000000000000007E-2</v>
      </c>
      <c r="F6" s="19">
        <v>0.08</v>
      </c>
      <c r="G6" s="19">
        <v>0.08</v>
      </c>
      <c r="H6" s="19">
        <v>7.0000000000000007E-2</v>
      </c>
      <c r="I6" s="19">
        <v>7.0000000000000007E-2</v>
      </c>
      <c r="J6" s="2" t="s">
        <v>53</v>
      </c>
    </row>
    <row r="7" spans="1:10" ht="15" customHeight="1" x14ac:dyDescent="0.3">
      <c r="A7" s="7" t="s">
        <v>54</v>
      </c>
      <c r="B7" s="18">
        <v>-9.9000000000000005E-2</v>
      </c>
      <c r="C7" s="18">
        <v>-1.7999999999999999E-2</v>
      </c>
      <c r="D7" s="18">
        <v>0.14799999999999999</v>
      </c>
      <c r="E7" s="19">
        <v>0.15</v>
      </c>
      <c r="F7" s="19">
        <v>0.12</v>
      </c>
      <c r="G7" s="19">
        <v>0.1</v>
      </c>
      <c r="H7" s="19">
        <v>0.08</v>
      </c>
      <c r="I7" s="19">
        <v>0.08</v>
      </c>
      <c r="J7" s="2" t="s">
        <v>55</v>
      </c>
    </row>
    <row r="8" spans="1:10" ht="15" customHeight="1" x14ac:dyDescent="0.3">
      <c r="A8" s="7" t="s">
        <v>56</v>
      </c>
      <c r="B8" s="60" t="s">
        <v>269</v>
      </c>
      <c r="C8" s="18">
        <v>0.82299999999999995</v>
      </c>
      <c r="D8" s="18">
        <v>-6.8000000000000005E-2</v>
      </c>
      <c r="E8" s="19">
        <v>0.05</v>
      </c>
      <c r="F8" s="19">
        <v>0.08</v>
      </c>
      <c r="G8" s="19">
        <v>0.1</v>
      </c>
      <c r="H8" s="19">
        <v>0.1</v>
      </c>
      <c r="I8" s="19">
        <v>0.1</v>
      </c>
      <c r="J8" s="2" t="s">
        <v>57</v>
      </c>
    </row>
    <row r="9" spans="1:10" ht="15" customHeight="1" x14ac:dyDescent="0.3">
      <c r="A9" s="7" t="s">
        <v>58</v>
      </c>
      <c r="B9" s="60" t="s">
        <v>269</v>
      </c>
      <c r="C9" s="18">
        <v>0.23699999999999999</v>
      </c>
      <c r="D9" s="18">
        <v>2E-3</v>
      </c>
      <c r="E9" s="19">
        <v>0.03</v>
      </c>
      <c r="F9" s="19">
        <v>0.03</v>
      </c>
      <c r="G9" s="19">
        <v>0.03</v>
      </c>
      <c r="H9" s="19">
        <v>0.03</v>
      </c>
      <c r="I9" s="19">
        <v>0.03</v>
      </c>
      <c r="J9" s="2" t="s">
        <v>59</v>
      </c>
    </row>
    <row r="10" spans="1:10" ht="7.5" customHeight="1" x14ac:dyDescent="0.3"/>
    <row r="11" spans="1:10" ht="15" customHeight="1" x14ac:dyDescent="0.3">
      <c r="A11" s="122" t="s">
        <v>60</v>
      </c>
      <c r="B11" s="122"/>
      <c r="C11" s="122"/>
      <c r="D11" s="122"/>
      <c r="E11" s="122"/>
      <c r="F11" s="122"/>
      <c r="G11" s="122"/>
      <c r="H11" s="122"/>
    </row>
    <row r="12" spans="1:10" ht="15" customHeight="1" x14ac:dyDescent="0.3">
      <c r="A12" s="7" t="s">
        <v>10</v>
      </c>
      <c r="B12" s="18">
        <v>0.503</v>
      </c>
      <c r="C12" s="18">
        <v>0.53100000000000003</v>
      </c>
      <c r="D12" s="18">
        <v>0.54</v>
      </c>
      <c r="E12" s="19">
        <v>0.54500000000000004</v>
      </c>
      <c r="F12" s="19">
        <v>0.55000000000000004</v>
      </c>
      <c r="G12" s="19">
        <v>0.55500000000000005</v>
      </c>
      <c r="H12" s="19">
        <v>0.55800000000000005</v>
      </c>
      <c r="I12" s="19">
        <v>0.56000000000000005</v>
      </c>
      <c r="J12" s="2" t="s">
        <v>61</v>
      </c>
    </row>
    <row r="13" spans="1:10" ht="15" customHeight="1" x14ac:dyDescent="0.3">
      <c r="A13" s="7" t="s">
        <v>62</v>
      </c>
      <c r="B13" s="18">
        <v>3.5999999999999997E-2</v>
      </c>
      <c r="C13" s="18">
        <v>3.7999999999999999E-2</v>
      </c>
      <c r="D13" s="18">
        <v>3.9E-2</v>
      </c>
      <c r="E13" s="19">
        <v>3.9E-2</v>
      </c>
      <c r="F13" s="19">
        <v>3.7999999999999999E-2</v>
      </c>
      <c r="G13" s="19">
        <v>3.7999999999999999E-2</v>
      </c>
      <c r="H13" s="19">
        <v>3.6999999999999998E-2</v>
      </c>
      <c r="I13" s="19">
        <v>3.6999999999999998E-2</v>
      </c>
      <c r="J13" s="2" t="s">
        <v>63</v>
      </c>
    </row>
    <row r="14" spans="1:10" ht="15" customHeight="1" x14ac:dyDescent="0.3">
      <c r="A14" s="7" t="s">
        <v>64</v>
      </c>
      <c r="B14" s="18">
        <v>7.5999999999999998E-2</v>
      </c>
      <c r="C14" s="18">
        <v>8.4000000000000005E-2</v>
      </c>
      <c r="D14" s="18">
        <v>0.09</v>
      </c>
      <c r="E14" s="19">
        <v>9.0999999999999998E-2</v>
      </c>
      <c r="F14" s="19">
        <v>9.1999999999999998E-2</v>
      </c>
      <c r="G14" s="19">
        <v>0.09</v>
      </c>
      <c r="H14" s="19">
        <v>0.09</v>
      </c>
      <c r="I14" s="19">
        <v>0.09</v>
      </c>
      <c r="J14" s="2" t="s">
        <v>65</v>
      </c>
    </row>
    <row r="15" spans="1:10" ht="15" customHeight="1" x14ac:dyDescent="0.3">
      <c r="A15" s="7" t="s">
        <v>66</v>
      </c>
      <c r="B15" s="18">
        <v>0.11799999999999999</v>
      </c>
      <c r="C15" s="18">
        <v>0.13</v>
      </c>
      <c r="D15" s="18">
        <v>0.154</v>
      </c>
      <c r="E15" s="19">
        <v>0.13500000000000001</v>
      </c>
      <c r="F15" s="19">
        <v>0.13200000000000001</v>
      </c>
      <c r="G15" s="19">
        <v>0.13</v>
      </c>
      <c r="H15" s="19">
        <v>0.128</v>
      </c>
      <c r="I15" s="19">
        <v>0.125</v>
      </c>
      <c r="J15" s="2" t="s">
        <v>67</v>
      </c>
    </row>
    <row r="16" spans="1:10" ht="15" customHeight="1" x14ac:dyDescent="0.3">
      <c r="A16" s="7" t="s">
        <v>68</v>
      </c>
      <c r="B16" s="22">
        <v>138.19999999999999</v>
      </c>
      <c r="C16" s="22">
        <v>42.7</v>
      </c>
      <c r="D16" s="20">
        <v>138.80000000000001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" t="s">
        <v>69</v>
      </c>
    </row>
    <row r="17" spans="1:10" ht="7.5" customHeight="1" x14ac:dyDescent="0.3"/>
    <row r="18" spans="1:10" ht="15" customHeight="1" x14ac:dyDescent="0.3">
      <c r="A18" s="122" t="s">
        <v>70</v>
      </c>
      <c r="B18" s="122"/>
      <c r="C18" s="122"/>
      <c r="D18" s="122"/>
      <c r="E18" s="122"/>
      <c r="F18" s="122"/>
      <c r="G18" s="122"/>
      <c r="H18" s="122"/>
    </row>
    <row r="19" spans="1:10" ht="15" customHeight="1" x14ac:dyDescent="0.3">
      <c r="A19" s="7" t="s">
        <v>71</v>
      </c>
      <c r="B19" s="22">
        <v>70.2</v>
      </c>
      <c r="C19" s="22">
        <v>84.5</v>
      </c>
      <c r="D19" s="22">
        <v>113.7</v>
      </c>
      <c r="E19" s="23">
        <v>125</v>
      </c>
      <c r="F19" s="23">
        <v>135</v>
      </c>
      <c r="G19" s="23">
        <v>145</v>
      </c>
      <c r="H19" s="23">
        <v>155</v>
      </c>
      <c r="I19" s="23">
        <v>165</v>
      </c>
      <c r="J19" s="2" t="s">
        <v>72</v>
      </c>
    </row>
    <row r="20" spans="1:10" ht="15" customHeight="1" x14ac:dyDescent="0.3">
      <c r="A20" s="7" t="s">
        <v>73</v>
      </c>
      <c r="B20" s="22">
        <v>127</v>
      </c>
      <c r="C20" s="22">
        <v>221.3</v>
      </c>
      <c r="D20" s="22">
        <v>264.10000000000002</v>
      </c>
      <c r="E20" s="23">
        <v>280</v>
      </c>
      <c r="F20" s="23">
        <v>295</v>
      </c>
      <c r="G20" s="23">
        <v>310</v>
      </c>
      <c r="H20" s="23">
        <v>320</v>
      </c>
      <c r="I20" s="23">
        <v>330</v>
      </c>
      <c r="J20" s="2" t="s">
        <v>74</v>
      </c>
    </row>
    <row r="21" spans="1:10" ht="15" customHeight="1" x14ac:dyDescent="0.3">
      <c r="A21" s="7" t="s">
        <v>75</v>
      </c>
      <c r="B21" s="22">
        <v>61.8</v>
      </c>
      <c r="C21" s="22">
        <v>68.2</v>
      </c>
      <c r="D21" s="22">
        <v>82.3</v>
      </c>
      <c r="E21" s="23">
        <v>90</v>
      </c>
      <c r="F21" s="23">
        <v>95</v>
      </c>
      <c r="G21" s="23">
        <v>100</v>
      </c>
      <c r="H21" s="23">
        <v>105</v>
      </c>
      <c r="I21" s="23">
        <v>110</v>
      </c>
      <c r="J21" s="2" t="s">
        <v>76</v>
      </c>
    </row>
    <row r="22" spans="1:10" ht="7.5" customHeight="1" x14ac:dyDescent="0.3"/>
    <row r="23" spans="1:10" ht="15" customHeight="1" x14ac:dyDescent="0.3">
      <c r="A23" s="122" t="s">
        <v>77</v>
      </c>
      <c r="B23" s="122"/>
      <c r="C23" s="122"/>
      <c r="D23" s="122"/>
      <c r="E23" s="122"/>
      <c r="F23" s="122"/>
      <c r="G23" s="122"/>
      <c r="H23" s="122"/>
    </row>
    <row r="24" spans="1:10" ht="15" customHeight="1" x14ac:dyDescent="0.3">
      <c r="A24" s="7" t="s">
        <v>78</v>
      </c>
      <c r="B24" s="22">
        <v>7.2</v>
      </c>
      <c r="C24" s="22">
        <v>130</v>
      </c>
      <c r="D24" s="22">
        <v>115</v>
      </c>
      <c r="E24" s="23">
        <v>75</v>
      </c>
      <c r="F24" s="23">
        <v>80</v>
      </c>
      <c r="G24" s="23">
        <v>85</v>
      </c>
      <c r="H24" s="23">
        <v>90</v>
      </c>
      <c r="I24" s="23">
        <v>95</v>
      </c>
      <c r="J24" s="2" t="s">
        <v>79</v>
      </c>
    </row>
    <row r="25" spans="1:10" ht="15" customHeight="1" x14ac:dyDescent="0.3">
      <c r="A25" s="7" t="s">
        <v>80</v>
      </c>
      <c r="B25" s="22">
        <v>1.3</v>
      </c>
      <c r="C25" s="22">
        <v>0.4</v>
      </c>
      <c r="D25" s="22">
        <v>27.9</v>
      </c>
      <c r="E25" s="23">
        <v>28</v>
      </c>
      <c r="F25" s="23">
        <v>26</v>
      </c>
      <c r="G25" s="23">
        <v>24</v>
      </c>
      <c r="H25" s="23">
        <v>22</v>
      </c>
      <c r="I25" s="23">
        <v>20</v>
      </c>
      <c r="J25" s="2" t="s">
        <v>81</v>
      </c>
    </row>
    <row r="26" spans="1:10" ht="15" customHeight="1" x14ac:dyDescent="0.3">
      <c r="A26" s="7" t="s">
        <v>82</v>
      </c>
      <c r="B26" s="22">
        <v>-19.8</v>
      </c>
      <c r="C26" s="22">
        <v>-129.9</v>
      </c>
      <c r="D26" s="22">
        <v>-27.9</v>
      </c>
      <c r="E26" s="23">
        <v>-15</v>
      </c>
      <c r="F26" s="23">
        <v>-10</v>
      </c>
      <c r="G26" s="23">
        <v>-10</v>
      </c>
      <c r="H26" s="23">
        <v>-10</v>
      </c>
      <c r="I26" s="23">
        <v>-10</v>
      </c>
      <c r="J26" s="2" t="s">
        <v>83</v>
      </c>
    </row>
    <row r="27" spans="1:10" ht="15" customHeight="1" x14ac:dyDescent="0.3">
      <c r="A27" s="7" t="s">
        <v>14</v>
      </c>
      <c r="B27" s="18">
        <v>0.24199999999999999</v>
      </c>
      <c r="C27" s="18">
        <v>0.21099999999999999</v>
      </c>
      <c r="D27" s="18">
        <v>0.24099999999999999</v>
      </c>
      <c r="E27" s="19">
        <v>0.24</v>
      </c>
      <c r="F27" s="19">
        <v>0.24</v>
      </c>
      <c r="G27" s="19">
        <v>0.24</v>
      </c>
      <c r="H27" s="19">
        <v>0.24</v>
      </c>
      <c r="I27" s="19">
        <v>0.24</v>
      </c>
      <c r="J27" s="2" t="s">
        <v>84</v>
      </c>
    </row>
    <row r="28" spans="1:10" ht="7.5" customHeight="1" x14ac:dyDescent="0.3"/>
    <row r="29" spans="1:10" ht="15" customHeight="1" x14ac:dyDescent="0.3">
      <c r="A29" s="122" t="s">
        <v>85</v>
      </c>
      <c r="B29" s="122"/>
      <c r="C29" s="122"/>
      <c r="D29" s="122"/>
      <c r="E29" s="122"/>
      <c r="F29" s="122"/>
      <c r="G29" s="122"/>
      <c r="H29" s="122"/>
    </row>
    <row r="30" spans="1:10" ht="15" customHeight="1" x14ac:dyDescent="0.3">
      <c r="A30" s="7" t="s">
        <v>86</v>
      </c>
      <c r="B30" s="22">
        <v>61.7</v>
      </c>
      <c r="C30" s="22">
        <v>61</v>
      </c>
      <c r="D30" s="22">
        <v>59.5</v>
      </c>
      <c r="E30" s="23">
        <v>58</v>
      </c>
      <c r="F30" s="23">
        <v>57</v>
      </c>
      <c r="G30" s="23">
        <v>57</v>
      </c>
      <c r="H30" s="23">
        <v>56</v>
      </c>
      <c r="I30" s="23">
        <v>56</v>
      </c>
      <c r="J30" s="2" t="s">
        <v>87</v>
      </c>
    </row>
    <row r="31" spans="1:10" ht="15" customHeight="1" x14ac:dyDescent="0.3">
      <c r="A31" s="7" t="s">
        <v>88</v>
      </c>
      <c r="B31" s="22">
        <v>97.2</v>
      </c>
      <c r="C31" s="22">
        <v>106</v>
      </c>
      <c r="D31" s="22">
        <v>78.099999999999994</v>
      </c>
      <c r="E31" s="23">
        <v>82</v>
      </c>
      <c r="F31" s="23">
        <v>78</v>
      </c>
      <c r="G31" s="23">
        <v>75</v>
      </c>
      <c r="H31" s="23">
        <v>73</v>
      </c>
      <c r="I31" s="23">
        <v>72</v>
      </c>
      <c r="J31" s="2" t="s">
        <v>89</v>
      </c>
    </row>
    <row r="32" spans="1:10" ht="15" customHeight="1" x14ac:dyDescent="0.3">
      <c r="A32" s="7" t="s">
        <v>90</v>
      </c>
      <c r="B32" s="22">
        <v>54.7</v>
      </c>
      <c r="C32" s="22">
        <v>61.5</v>
      </c>
      <c r="D32" s="22">
        <v>49.5</v>
      </c>
      <c r="E32" s="23">
        <v>52</v>
      </c>
      <c r="F32" s="23">
        <v>52</v>
      </c>
      <c r="G32" s="23">
        <v>52</v>
      </c>
      <c r="H32" s="23">
        <v>52</v>
      </c>
      <c r="I32" s="23">
        <v>52</v>
      </c>
      <c r="J32" s="2" t="s">
        <v>91</v>
      </c>
    </row>
    <row r="33" spans="1:10" ht="7.5" customHeight="1" x14ac:dyDescent="0.3"/>
    <row r="34" spans="1:10" ht="15" customHeight="1" x14ac:dyDescent="0.3">
      <c r="A34" s="122" t="s">
        <v>92</v>
      </c>
      <c r="B34" s="122"/>
      <c r="C34" s="122"/>
      <c r="D34" s="122"/>
      <c r="E34" s="122"/>
      <c r="F34" s="122"/>
      <c r="G34" s="122"/>
      <c r="H34" s="122"/>
    </row>
    <row r="35" spans="1:10" ht="15" customHeight="1" x14ac:dyDescent="0.3">
      <c r="A35" s="7" t="s">
        <v>93</v>
      </c>
      <c r="B35" s="20">
        <v>193</v>
      </c>
      <c r="C35" s="20">
        <v>573.79999999999995</v>
      </c>
      <c r="D35" s="20">
        <v>762.1</v>
      </c>
      <c r="E35" s="21">
        <v>500</v>
      </c>
      <c r="F35" s="21">
        <v>600</v>
      </c>
      <c r="G35" s="21">
        <v>700</v>
      </c>
      <c r="H35" s="21">
        <v>700</v>
      </c>
      <c r="I35" s="21">
        <v>700</v>
      </c>
      <c r="J35" s="2" t="s">
        <v>94</v>
      </c>
    </row>
    <row r="36" spans="1:10" ht="15" customHeight="1" x14ac:dyDescent="0.3">
      <c r="A36" s="7" t="s">
        <v>95</v>
      </c>
      <c r="B36" s="22">
        <v>1066.0999999999999</v>
      </c>
      <c r="C36" s="22">
        <v>1058</v>
      </c>
      <c r="D36" s="22">
        <v>1013.1</v>
      </c>
      <c r="E36" s="23">
        <v>985</v>
      </c>
      <c r="F36" s="23">
        <v>963</v>
      </c>
      <c r="G36" s="23">
        <v>940</v>
      </c>
      <c r="H36" s="23">
        <v>916</v>
      </c>
      <c r="I36" s="23">
        <v>893</v>
      </c>
      <c r="J36" s="2" t="s">
        <v>96</v>
      </c>
    </row>
    <row r="37" spans="1:10" ht="15" customHeight="1" x14ac:dyDescent="0.3">
      <c r="A37" s="7" t="s">
        <v>97</v>
      </c>
      <c r="B37" s="20">
        <v>0</v>
      </c>
      <c r="C37" s="20">
        <v>0</v>
      </c>
      <c r="D37" s="20">
        <v>374</v>
      </c>
      <c r="E37" s="21">
        <v>374</v>
      </c>
      <c r="F37" s="21">
        <v>324</v>
      </c>
      <c r="G37" s="21">
        <v>274</v>
      </c>
      <c r="H37" s="21">
        <v>224</v>
      </c>
      <c r="I37" s="21">
        <v>174</v>
      </c>
      <c r="J37" s="2" t="s">
        <v>98</v>
      </c>
    </row>
    <row r="38" spans="1:10" ht="7.5" customHeight="1" x14ac:dyDescent="0.3"/>
    <row r="39" spans="1:10" ht="15" customHeight="1" x14ac:dyDescent="0.3">
      <c r="A39" s="122" t="s">
        <v>99</v>
      </c>
      <c r="B39" s="122"/>
      <c r="C39" s="122"/>
      <c r="D39" s="122"/>
      <c r="E39" s="122"/>
      <c r="F39" s="122"/>
      <c r="G39" s="122"/>
      <c r="H39" s="122"/>
    </row>
    <row r="40" spans="1:10" ht="15" customHeight="1" x14ac:dyDescent="0.3">
      <c r="A40" s="7" t="s">
        <v>17</v>
      </c>
      <c r="B40" s="61" t="s">
        <v>100</v>
      </c>
      <c r="C40" s="61" t="s">
        <v>100</v>
      </c>
      <c r="D40" s="24">
        <v>0.09</v>
      </c>
      <c r="E40" s="25" t="s">
        <v>100</v>
      </c>
      <c r="F40" s="25" t="s">
        <v>100</v>
      </c>
      <c r="G40" s="25" t="s">
        <v>100</v>
      </c>
      <c r="H40" s="25" t="s">
        <v>100</v>
      </c>
      <c r="I40" s="25" t="s">
        <v>100</v>
      </c>
      <c r="J40" s="2" t="s">
        <v>101</v>
      </c>
    </row>
    <row r="41" spans="1:10" ht="15" customHeight="1" x14ac:dyDescent="0.3">
      <c r="A41" s="7" t="s">
        <v>18</v>
      </c>
      <c r="B41" s="61" t="s">
        <v>100</v>
      </c>
      <c r="C41" s="61" t="s">
        <v>100</v>
      </c>
      <c r="D41" s="24">
        <v>0.04</v>
      </c>
      <c r="E41" s="25" t="s">
        <v>100</v>
      </c>
      <c r="F41" s="25" t="s">
        <v>100</v>
      </c>
      <c r="G41" s="25" t="s">
        <v>100</v>
      </c>
      <c r="H41" s="25" t="s">
        <v>100</v>
      </c>
      <c r="I41" s="25" t="s">
        <v>100</v>
      </c>
      <c r="J41" s="2" t="s">
        <v>102</v>
      </c>
    </row>
    <row r="42" spans="1:10" ht="15" customHeight="1" x14ac:dyDescent="0.3">
      <c r="A42" s="7" t="s">
        <v>103</v>
      </c>
      <c r="B42" s="61" t="s">
        <v>100</v>
      </c>
      <c r="C42" s="61" t="s">
        <v>100</v>
      </c>
      <c r="D42" s="26">
        <v>27</v>
      </c>
      <c r="E42" s="25" t="s">
        <v>100</v>
      </c>
      <c r="F42" s="25" t="s">
        <v>100</v>
      </c>
      <c r="G42" s="25" t="s">
        <v>100</v>
      </c>
      <c r="H42" s="25" t="s">
        <v>100</v>
      </c>
      <c r="I42" s="25" t="s">
        <v>100</v>
      </c>
      <c r="J42" s="2" t="s">
        <v>104</v>
      </c>
    </row>
    <row r="43" spans="1:10" ht="15" customHeight="1" x14ac:dyDescent="0.3">
      <c r="A43" s="7" t="s">
        <v>105</v>
      </c>
      <c r="B43" s="61" t="s">
        <v>100</v>
      </c>
      <c r="C43" s="61" t="s">
        <v>100</v>
      </c>
      <c r="D43" s="26">
        <v>30</v>
      </c>
      <c r="E43" s="25" t="s">
        <v>100</v>
      </c>
      <c r="F43" s="25" t="s">
        <v>100</v>
      </c>
      <c r="G43" s="25" t="s">
        <v>100</v>
      </c>
      <c r="H43" s="25" t="s">
        <v>100</v>
      </c>
      <c r="I43" s="25" t="s">
        <v>100</v>
      </c>
      <c r="J43" s="2" t="s">
        <v>106</v>
      </c>
    </row>
    <row r="44" spans="1:10" ht="15" customHeight="1" x14ac:dyDescent="0.3">
      <c r="A44" s="7" t="s">
        <v>107</v>
      </c>
      <c r="B44" s="61" t="s">
        <v>100</v>
      </c>
      <c r="C44" s="61" t="s">
        <v>100</v>
      </c>
      <c r="D44" s="27">
        <v>55</v>
      </c>
      <c r="E44" s="25" t="s">
        <v>100</v>
      </c>
      <c r="F44" s="25" t="s">
        <v>100</v>
      </c>
      <c r="G44" s="25" t="s">
        <v>100</v>
      </c>
      <c r="H44" s="25" t="s">
        <v>100</v>
      </c>
      <c r="I44" s="25" t="s">
        <v>100</v>
      </c>
      <c r="J44" s="2" t="s">
        <v>108</v>
      </c>
    </row>
    <row r="45" spans="1:10" ht="15" customHeight="1" x14ac:dyDescent="0.3">
      <c r="A45" s="7" t="s">
        <v>109</v>
      </c>
      <c r="B45" s="61" t="s">
        <v>100</v>
      </c>
      <c r="C45" s="61" t="s">
        <v>100</v>
      </c>
      <c r="D45" s="28">
        <v>-1159.3</v>
      </c>
      <c r="E45" s="25" t="s">
        <v>100</v>
      </c>
      <c r="F45" s="25" t="s">
        <v>100</v>
      </c>
      <c r="G45" s="25" t="s">
        <v>100</v>
      </c>
      <c r="H45" s="25" t="s">
        <v>100</v>
      </c>
      <c r="I45" s="25" t="s">
        <v>100</v>
      </c>
      <c r="J45" s="2" t="s">
        <v>110</v>
      </c>
    </row>
    <row r="47" spans="1:10" ht="15" customHeight="1" x14ac:dyDescent="0.3">
      <c r="A47" s="117" t="s">
        <v>111</v>
      </c>
      <c r="B47" s="117"/>
      <c r="C47" s="117"/>
      <c r="D47" s="117"/>
      <c r="E47" s="117"/>
      <c r="F47" s="117"/>
      <c r="G47" s="117"/>
      <c r="H47" s="117"/>
    </row>
  </sheetData>
  <mergeCells count="10">
    <mergeCell ref="A29:H29"/>
    <mergeCell ref="A34:H34"/>
    <mergeCell ref="A39:H39"/>
    <mergeCell ref="A47:H47"/>
    <mergeCell ref="A1:H1"/>
    <mergeCell ref="A2:H2"/>
    <mergeCell ref="A5:H5"/>
    <mergeCell ref="A11:H11"/>
    <mergeCell ref="A18:H18"/>
    <mergeCell ref="A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I49"/>
  <sheetViews>
    <sheetView showGridLines="0" topLeftCell="A12" zoomScale="85" zoomScaleNormal="85" workbookViewId="0">
      <selection activeCell="D14" sqref="D14"/>
    </sheetView>
  </sheetViews>
  <sheetFormatPr defaultColWidth="8.6640625" defaultRowHeight="14.4" x14ac:dyDescent="0.3"/>
  <cols>
    <col min="1" max="1" width="42" customWidth="1"/>
    <col min="2" max="9" width="12" customWidth="1"/>
  </cols>
  <sheetData>
    <row r="1" spans="1:9" ht="25.5" customHeight="1" x14ac:dyDescent="0.3">
      <c r="A1" s="123" t="s">
        <v>112</v>
      </c>
      <c r="B1" s="123"/>
      <c r="C1" s="123"/>
      <c r="D1" s="123"/>
      <c r="E1" s="123"/>
      <c r="F1" s="123"/>
      <c r="G1" s="123"/>
      <c r="H1" s="123"/>
      <c r="I1" s="123"/>
    </row>
    <row r="2" spans="1:9" ht="18" customHeight="1" x14ac:dyDescent="0.3">
      <c r="A2" s="119" t="s">
        <v>113</v>
      </c>
      <c r="B2" s="119"/>
      <c r="C2" s="119"/>
      <c r="D2" s="119"/>
      <c r="E2" s="119"/>
      <c r="F2" s="119"/>
      <c r="G2" s="119"/>
      <c r="H2" s="119"/>
      <c r="I2" s="119"/>
    </row>
    <row r="4" spans="1:9" ht="21.75" customHeight="1" x14ac:dyDescent="0.3">
      <c r="A4" s="12"/>
      <c r="B4" s="4" t="s">
        <v>114</v>
      </c>
      <c r="C4" s="4" t="s">
        <v>115</v>
      </c>
      <c r="D4" s="4" t="s">
        <v>116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</row>
    <row r="5" spans="1:9" ht="15" customHeight="1" x14ac:dyDescent="0.3">
      <c r="A5" s="122" t="s">
        <v>117</v>
      </c>
      <c r="B5" s="122"/>
      <c r="C5" s="122"/>
      <c r="D5" s="122"/>
      <c r="E5" s="122"/>
      <c r="F5" s="122"/>
      <c r="G5" s="122"/>
      <c r="H5" s="122"/>
      <c r="I5" s="122"/>
    </row>
    <row r="6" spans="1:9" x14ac:dyDescent="0.3">
      <c r="A6" s="7" t="s">
        <v>118</v>
      </c>
      <c r="B6" s="20">
        <v>5804000</v>
      </c>
      <c r="C6" s="20">
        <v>6550612</v>
      </c>
      <c r="D6" s="20">
        <v>6860146</v>
      </c>
      <c r="E6" s="29"/>
      <c r="F6" s="29"/>
      <c r="G6" s="29"/>
      <c r="H6" s="29"/>
      <c r="I6" s="29"/>
    </row>
    <row r="7" spans="1:9" x14ac:dyDescent="0.3">
      <c r="A7" s="7" t="s">
        <v>119</v>
      </c>
      <c r="B7" s="20">
        <v>383000</v>
      </c>
      <c r="C7" s="20">
        <v>376558</v>
      </c>
      <c r="D7" s="20">
        <v>432201</v>
      </c>
      <c r="E7" s="29"/>
      <c r="F7" s="29"/>
      <c r="G7" s="29"/>
      <c r="H7" s="29"/>
      <c r="I7" s="29"/>
    </row>
    <row r="8" spans="1:9" x14ac:dyDescent="0.3">
      <c r="A8" s="7" t="s">
        <v>120</v>
      </c>
      <c r="B8" s="20">
        <v>101405</v>
      </c>
      <c r="C8" s="20">
        <v>184855</v>
      </c>
      <c r="D8" s="20">
        <v>172313</v>
      </c>
      <c r="E8" s="29"/>
      <c r="F8" s="29"/>
      <c r="G8" s="29"/>
      <c r="H8" s="29"/>
      <c r="I8" s="29"/>
    </row>
    <row r="9" spans="1:9" x14ac:dyDescent="0.3">
      <c r="A9" s="7" t="s">
        <v>121</v>
      </c>
      <c r="B9" s="20">
        <v>22645</v>
      </c>
      <c r="C9" s="20">
        <v>28002</v>
      </c>
      <c r="D9" s="20">
        <v>28049</v>
      </c>
      <c r="E9" s="29"/>
      <c r="F9" s="29"/>
      <c r="G9" s="29"/>
      <c r="H9" s="29"/>
      <c r="I9" s="29"/>
    </row>
    <row r="10" spans="1:9" x14ac:dyDescent="0.3">
      <c r="A10" s="1" t="s">
        <v>122</v>
      </c>
      <c r="B10" s="30">
        <f t="shared" ref="B10:D10" si="0">SUM(B6:B9)</f>
        <v>6311050</v>
      </c>
      <c r="C10" s="30">
        <f t="shared" si="0"/>
        <v>7140027</v>
      </c>
      <c r="D10" s="30">
        <f t="shared" si="0"/>
        <v>7492709</v>
      </c>
      <c r="E10" s="30"/>
      <c r="F10" s="30"/>
      <c r="G10" s="30"/>
      <c r="H10" s="30"/>
      <c r="I10" s="30"/>
    </row>
    <row r="11" spans="1:9" x14ac:dyDescent="0.3">
      <c r="A11" s="31" t="s">
        <v>123</v>
      </c>
      <c r="C11" s="32">
        <f t="shared" ref="C11:D11" si="1">(C10-B10)/B10</f>
        <v>0.13135326134319963</v>
      </c>
      <c r="D11" s="32">
        <f t="shared" si="1"/>
        <v>4.9395051307228953E-2</v>
      </c>
      <c r="E11" s="32"/>
      <c r="F11" s="32"/>
      <c r="G11" s="32"/>
      <c r="H11" s="32"/>
      <c r="I11" s="32"/>
    </row>
    <row r="12" spans="1:9" ht="7.5" customHeight="1" x14ac:dyDescent="0.3"/>
    <row r="13" spans="1:9" ht="15" customHeight="1" x14ac:dyDescent="0.3">
      <c r="A13" s="122" t="s">
        <v>124</v>
      </c>
      <c r="B13" s="122"/>
      <c r="C13" s="122"/>
      <c r="D13" s="122"/>
      <c r="E13" s="122"/>
      <c r="F13" s="122"/>
      <c r="G13" s="122"/>
      <c r="H13" s="122"/>
      <c r="I13" s="122"/>
    </row>
    <row r="14" spans="1:9" x14ac:dyDescent="0.3">
      <c r="A14" s="7" t="s">
        <v>125</v>
      </c>
      <c r="B14" s="20">
        <v>3136483</v>
      </c>
      <c r="C14" s="20">
        <v>3345821</v>
      </c>
      <c r="D14" s="20">
        <v>3443831</v>
      </c>
      <c r="E14" s="29"/>
      <c r="F14" s="29"/>
      <c r="G14" s="29"/>
      <c r="H14" s="29"/>
      <c r="I14" s="29"/>
    </row>
    <row r="15" spans="1:9" x14ac:dyDescent="0.3">
      <c r="A15" s="1" t="s">
        <v>126</v>
      </c>
      <c r="B15" s="30">
        <f t="shared" ref="B15:D15" si="2">B10-B14</f>
        <v>3174567</v>
      </c>
      <c r="C15" s="30">
        <f t="shared" si="2"/>
        <v>3794206</v>
      </c>
      <c r="D15" s="30">
        <f t="shared" si="2"/>
        <v>4048878</v>
      </c>
      <c r="E15" s="30"/>
      <c r="F15" s="30"/>
      <c r="G15" s="30"/>
      <c r="H15" s="30"/>
      <c r="I15" s="30"/>
    </row>
    <row r="16" spans="1:9" x14ac:dyDescent="0.3">
      <c r="A16" s="31" t="s">
        <v>127</v>
      </c>
      <c r="B16" s="32">
        <f t="shared" ref="B16:D16" si="3">B15/B10</f>
        <v>0.50301724752616439</v>
      </c>
      <c r="C16" s="32">
        <f t="shared" si="3"/>
        <v>0.53139939106672851</v>
      </c>
      <c r="D16" s="32">
        <f t="shared" si="3"/>
        <v>0.54037571724725997</v>
      </c>
      <c r="E16" s="32"/>
      <c r="F16" s="32"/>
      <c r="G16" s="32"/>
      <c r="H16" s="32"/>
      <c r="I16" s="32"/>
    </row>
    <row r="17" spans="1:9" ht="7.5" customHeight="1" x14ac:dyDescent="0.3"/>
    <row r="18" spans="1:9" ht="15" customHeight="1" x14ac:dyDescent="0.3">
      <c r="A18" s="122" t="s">
        <v>128</v>
      </c>
      <c r="B18" s="122"/>
      <c r="C18" s="122"/>
      <c r="D18" s="122"/>
      <c r="E18" s="122"/>
      <c r="F18" s="122"/>
      <c r="G18" s="122"/>
      <c r="H18" s="122"/>
      <c r="I18" s="122"/>
    </row>
    <row r="19" spans="1:9" x14ac:dyDescent="0.3">
      <c r="A19" s="7" t="s">
        <v>129</v>
      </c>
      <c r="B19" s="20">
        <v>226491</v>
      </c>
      <c r="C19" s="20">
        <v>271118</v>
      </c>
      <c r="D19" s="20">
        <v>289618</v>
      </c>
      <c r="E19" s="29"/>
      <c r="F19" s="29"/>
      <c r="G19" s="29"/>
      <c r="H19" s="29"/>
      <c r="I19" s="29"/>
    </row>
    <row r="20" spans="1:9" x14ac:dyDescent="0.3">
      <c r="A20" s="7" t="s">
        <v>130</v>
      </c>
      <c r="B20" s="20">
        <v>479046</v>
      </c>
      <c r="C20" s="20">
        <v>596516</v>
      </c>
      <c r="D20" s="20">
        <v>677038</v>
      </c>
      <c r="E20" s="29"/>
      <c r="F20" s="29"/>
      <c r="G20" s="29"/>
      <c r="H20" s="29"/>
      <c r="I20" s="29"/>
    </row>
    <row r="21" spans="1:9" x14ac:dyDescent="0.3">
      <c r="A21" s="7" t="s">
        <v>131</v>
      </c>
      <c r="B21" s="20">
        <v>745801</v>
      </c>
      <c r="C21" s="20">
        <v>930000</v>
      </c>
      <c r="D21" s="20">
        <v>1013166</v>
      </c>
      <c r="E21" s="29"/>
      <c r="F21" s="29"/>
      <c r="G21" s="29"/>
      <c r="H21" s="29"/>
      <c r="I21" s="29"/>
    </row>
    <row r="22" spans="1:9" x14ac:dyDescent="0.3">
      <c r="A22" s="7" t="s">
        <v>132</v>
      </c>
      <c r="B22" s="20">
        <v>138198</v>
      </c>
      <c r="C22" s="20">
        <v>42736</v>
      </c>
      <c r="D22" s="20">
        <v>138762</v>
      </c>
      <c r="E22" s="29"/>
      <c r="F22" s="29"/>
      <c r="G22" s="29"/>
      <c r="H22" s="29"/>
      <c r="I22" s="29"/>
    </row>
    <row r="23" spans="1:9" x14ac:dyDescent="0.3">
      <c r="A23" s="1" t="s">
        <v>133</v>
      </c>
      <c r="B23" s="30">
        <f t="shared" ref="B23:D23" si="4">B19+B20+B21+B22</f>
        <v>1589536</v>
      </c>
      <c r="C23" s="30">
        <f t="shared" si="4"/>
        <v>1840370</v>
      </c>
      <c r="D23" s="30">
        <f t="shared" si="4"/>
        <v>2118584</v>
      </c>
      <c r="E23" s="30"/>
      <c r="F23" s="30"/>
      <c r="G23" s="30"/>
      <c r="H23" s="30"/>
      <c r="I23" s="30"/>
    </row>
    <row r="24" spans="1:9" x14ac:dyDescent="0.3">
      <c r="A24" s="31" t="s">
        <v>134</v>
      </c>
      <c r="B24" s="32">
        <f t="shared" ref="B24:D24" si="5">(B19+B20+B21)/B10</f>
        <v>0.22996775496945834</v>
      </c>
      <c r="C24" s="32">
        <f t="shared" si="5"/>
        <v>0.2517685157212991</v>
      </c>
      <c r="D24" s="32">
        <f t="shared" si="5"/>
        <v>0.26423313650643582</v>
      </c>
      <c r="E24" s="32"/>
      <c r="F24" s="32"/>
      <c r="G24" s="32"/>
      <c r="H24" s="32"/>
      <c r="I24" s="32"/>
    </row>
    <row r="25" spans="1:9" ht="7.5" customHeight="1" x14ac:dyDescent="0.3"/>
    <row r="26" spans="1:9" x14ac:dyDescent="0.3">
      <c r="A26" s="1" t="s">
        <v>135</v>
      </c>
      <c r="B26" s="30">
        <f t="shared" ref="B26:D26" si="6">B15-B23</f>
        <v>1585031</v>
      </c>
      <c r="C26" s="30">
        <f t="shared" si="6"/>
        <v>1953836</v>
      </c>
      <c r="D26" s="30">
        <f t="shared" si="6"/>
        <v>1930294</v>
      </c>
      <c r="E26" s="30"/>
      <c r="F26" s="30"/>
      <c r="G26" s="30"/>
      <c r="H26" s="30"/>
      <c r="I26" s="30"/>
    </row>
    <row r="27" spans="1:9" x14ac:dyDescent="0.3">
      <c r="A27" s="31" t="s">
        <v>136</v>
      </c>
      <c r="B27" s="32">
        <f t="shared" ref="B27:D27" si="7">B26/B10</f>
        <v>0.25115171009578435</v>
      </c>
      <c r="C27" s="32">
        <f t="shared" si="7"/>
        <v>0.27364546380566906</v>
      </c>
      <c r="D27" s="32">
        <f t="shared" si="7"/>
        <v>0.25762297721691846</v>
      </c>
      <c r="E27" s="32"/>
      <c r="F27" s="32"/>
      <c r="G27" s="32"/>
      <c r="H27" s="32"/>
      <c r="I27" s="32"/>
    </row>
    <row r="28" spans="1:9" x14ac:dyDescent="0.3">
      <c r="A28" s="7" t="s">
        <v>137</v>
      </c>
      <c r="B28" s="20">
        <v>70186</v>
      </c>
      <c r="C28" s="20">
        <v>84507</v>
      </c>
      <c r="D28" s="20">
        <v>113721</v>
      </c>
      <c r="E28" s="29"/>
      <c r="F28" s="29"/>
      <c r="G28" s="29"/>
      <c r="H28" s="29"/>
      <c r="I28" s="29"/>
    </row>
    <row r="29" spans="1:9" x14ac:dyDescent="0.3">
      <c r="A29" s="33" t="s">
        <v>26</v>
      </c>
      <c r="B29" s="34">
        <f t="shared" ref="B29:D29" si="8">B26+B28</f>
        <v>1655217</v>
      </c>
      <c r="C29" s="34">
        <f t="shared" si="8"/>
        <v>2038343</v>
      </c>
      <c r="D29" s="34">
        <f t="shared" si="8"/>
        <v>2044015</v>
      </c>
      <c r="E29" s="34"/>
      <c r="F29" s="34"/>
      <c r="G29" s="34"/>
      <c r="H29" s="34"/>
      <c r="I29" s="34"/>
    </row>
    <row r="30" spans="1:9" x14ac:dyDescent="0.3">
      <c r="A30" s="31" t="s">
        <v>138</v>
      </c>
      <c r="B30" s="32">
        <f t="shared" ref="B30:D30" si="9">B29/B10</f>
        <v>0.26227283890953168</v>
      </c>
      <c r="C30" s="32">
        <f t="shared" si="9"/>
        <v>0.28548113333464986</v>
      </c>
      <c r="D30" s="32">
        <f t="shared" si="9"/>
        <v>0.2728005318236702</v>
      </c>
      <c r="E30" s="32"/>
      <c r="F30" s="32"/>
      <c r="G30" s="32"/>
      <c r="H30" s="32"/>
      <c r="I30" s="32"/>
    </row>
    <row r="31" spans="1:9" ht="7.5" customHeight="1" x14ac:dyDescent="0.3"/>
    <row r="32" spans="1:9" ht="15" customHeight="1" x14ac:dyDescent="0.3">
      <c r="A32" s="122" t="s">
        <v>139</v>
      </c>
      <c r="B32" s="122"/>
      <c r="C32" s="122"/>
      <c r="D32" s="122"/>
      <c r="E32" s="122"/>
      <c r="F32" s="122"/>
      <c r="G32" s="122"/>
      <c r="H32" s="122"/>
      <c r="I32" s="122"/>
    </row>
    <row r="33" spans="1:9" x14ac:dyDescent="0.3">
      <c r="A33" s="7" t="s">
        <v>140</v>
      </c>
      <c r="B33" s="20">
        <v>7226</v>
      </c>
      <c r="C33" s="20">
        <v>130014</v>
      </c>
      <c r="D33" s="20">
        <v>115022</v>
      </c>
      <c r="E33" s="29"/>
      <c r="F33" s="29"/>
      <c r="G33" s="29"/>
      <c r="H33" s="29"/>
      <c r="I33" s="29"/>
    </row>
    <row r="34" spans="1:9" x14ac:dyDescent="0.3">
      <c r="A34" s="7" t="s">
        <v>141</v>
      </c>
      <c r="B34" s="20">
        <v>-1289</v>
      </c>
      <c r="C34" s="20">
        <v>-383</v>
      </c>
      <c r="D34" s="20">
        <v>-27916</v>
      </c>
      <c r="E34" s="29"/>
      <c r="F34" s="29"/>
      <c r="G34" s="29"/>
      <c r="H34" s="29"/>
      <c r="I34" s="29"/>
    </row>
    <row r="35" spans="1:9" x14ac:dyDescent="0.3">
      <c r="A35" s="7" t="s">
        <v>142</v>
      </c>
      <c r="B35" s="20">
        <v>-19762</v>
      </c>
      <c r="C35" s="20">
        <v>-129887</v>
      </c>
      <c r="D35" s="20">
        <v>-27941</v>
      </c>
      <c r="E35" s="29"/>
      <c r="F35" s="29"/>
      <c r="G35" s="29"/>
      <c r="H35" s="29"/>
      <c r="I35" s="29"/>
    </row>
    <row r="36" spans="1:9" x14ac:dyDescent="0.3">
      <c r="A36" s="1" t="s">
        <v>143</v>
      </c>
      <c r="B36" s="30">
        <f t="shared" ref="B36:D36" si="10">B33+B34+B35</f>
        <v>-13825</v>
      </c>
      <c r="C36" s="30">
        <f t="shared" si="10"/>
        <v>-256</v>
      </c>
      <c r="D36" s="30">
        <f t="shared" si="10"/>
        <v>59165</v>
      </c>
      <c r="E36" s="30"/>
      <c r="F36" s="30"/>
      <c r="G36" s="30"/>
      <c r="H36" s="30"/>
      <c r="I36" s="30"/>
    </row>
    <row r="37" spans="1:9" ht="7.5" customHeight="1" x14ac:dyDescent="0.3"/>
    <row r="38" spans="1:9" x14ac:dyDescent="0.3">
      <c r="A38" s="1" t="s">
        <v>144</v>
      </c>
      <c r="B38" s="30">
        <f t="shared" ref="B38:D38" si="11">B26+B36</f>
        <v>1571206</v>
      </c>
      <c r="C38" s="30">
        <f t="shared" si="11"/>
        <v>1953580</v>
      </c>
      <c r="D38" s="30">
        <f t="shared" si="11"/>
        <v>1989459</v>
      </c>
      <c r="E38" s="30"/>
      <c r="F38" s="30"/>
      <c r="G38" s="30"/>
      <c r="H38" s="30"/>
      <c r="I38" s="30"/>
    </row>
    <row r="39" spans="1:9" x14ac:dyDescent="0.3">
      <c r="A39" s="7" t="s">
        <v>145</v>
      </c>
      <c r="B39" s="20">
        <v>380340</v>
      </c>
      <c r="C39" s="20">
        <v>437494</v>
      </c>
      <c r="D39" s="20">
        <v>480411</v>
      </c>
      <c r="E39" s="29"/>
      <c r="F39" s="29"/>
      <c r="G39" s="29"/>
      <c r="H39" s="29"/>
      <c r="I39" s="29"/>
    </row>
    <row r="40" spans="1:9" x14ac:dyDescent="0.3">
      <c r="A40" s="31" t="s">
        <v>146</v>
      </c>
      <c r="B40" s="32">
        <f t="shared" ref="B40:D40" si="12">IF(B38&gt;0,B39/B38,0)</f>
        <v>0.24206883120354683</v>
      </c>
      <c r="C40" s="32">
        <f t="shared" si="12"/>
        <v>0.22394475782921611</v>
      </c>
      <c r="D40" s="32">
        <f t="shared" si="12"/>
        <v>0.24147821091060434</v>
      </c>
      <c r="E40" s="32"/>
      <c r="F40" s="32"/>
      <c r="G40" s="32"/>
      <c r="H40" s="32"/>
      <c r="I40" s="32"/>
    </row>
    <row r="41" spans="1:9" ht="7.5" customHeight="1" x14ac:dyDescent="0.3"/>
    <row r="42" spans="1:9" x14ac:dyDescent="0.3">
      <c r="A42" s="33" t="s">
        <v>147</v>
      </c>
      <c r="B42" s="34">
        <f t="shared" ref="B42:D42" si="13">B38-B39</f>
        <v>1190866</v>
      </c>
      <c r="C42" s="34">
        <f t="shared" si="13"/>
        <v>1516086</v>
      </c>
      <c r="D42" s="34">
        <f t="shared" si="13"/>
        <v>1509048</v>
      </c>
      <c r="E42" s="34"/>
      <c r="F42" s="34"/>
      <c r="G42" s="34"/>
      <c r="H42" s="34"/>
      <c r="I42" s="34"/>
    </row>
    <row r="43" spans="1:9" x14ac:dyDescent="0.3">
      <c r="A43" s="31" t="s">
        <v>148</v>
      </c>
      <c r="B43" s="32">
        <f t="shared" ref="B43:D43" si="14">B42/B10</f>
        <v>0.18869538349403031</v>
      </c>
      <c r="C43" s="32">
        <f t="shared" si="14"/>
        <v>0.21233617183800566</v>
      </c>
      <c r="D43" s="32">
        <f t="shared" si="14"/>
        <v>0.20140218978209351</v>
      </c>
      <c r="E43" s="32"/>
      <c r="F43" s="32"/>
      <c r="G43" s="32"/>
      <c r="H43" s="32"/>
      <c r="I43" s="32"/>
    </row>
    <row r="44" spans="1:9" ht="7.5" customHeight="1" x14ac:dyDescent="0.3"/>
    <row r="45" spans="1:9" x14ac:dyDescent="0.3">
      <c r="A45" s="7" t="s">
        <v>149</v>
      </c>
      <c r="B45" s="22">
        <v>1066.0999999999999</v>
      </c>
      <c r="C45" s="22">
        <v>1058</v>
      </c>
      <c r="D45" s="22">
        <v>1013.1</v>
      </c>
      <c r="E45" s="35"/>
      <c r="F45" s="35"/>
      <c r="G45" s="35"/>
      <c r="H45" s="35"/>
      <c r="I45" s="35"/>
    </row>
    <row r="46" spans="1:9" x14ac:dyDescent="0.3">
      <c r="A46" s="33" t="s">
        <v>150</v>
      </c>
      <c r="B46" s="36">
        <f t="shared" ref="B46:D46" si="15">B42/B45/1000</f>
        <v>1.1170302973454647</v>
      </c>
      <c r="C46" s="36">
        <f t="shared" si="15"/>
        <v>1.4329735349716446</v>
      </c>
      <c r="D46" s="36">
        <f t="shared" si="15"/>
        <v>1.4895350903168492</v>
      </c>
      <c r="E46" s="36"/>
      <c r="F46" s="36"/>
      <c r="G46" s="36"/>
      <c r="H46" s="36"/>
      <c r="I46" s="36"/>
    </row>
    <row r="47" spans="1:9" x14ac:dyDescent="0.3">
      <c r="A47" s="31" t="s">
        <v>151</v>
      </c>
      <c r="C47" s="32">
        <f t="shared" ref="C47:D47" si="16">IF(B46&lt;&gt;0,(C46-B46)/B46,"")</f>
        <v>0.28284213810224701</v>
      </c>
      <c r="D47" s="32">
        <f t="shared" si="16"/>
        <v>3.9471458449735992E-2</v>
      </c>
      <c r="E47" s="32"/>
      <c r="F47" s="32"/>
      <c r="G47" s="32"/>
      <c r="H47" s="32"/>
      <c r="I47" s="32"/>
    </row>
    <row r="49" spans="1:9" x14ac:dyDescent="0.3">
      <c r="A49" s="117" t="s">
        <v>152</v>
      </c>
      <c r="B49" s="117"/>
      <c r="C49" s="117"/>
      <c r="D49" s="117"/>
      <c r="E49" s="117"/>
      <c r="F49" s="117"/>
      <c r="G49" s="117"/>
      <c r="H49" s="117"/>
      <c r="I49" s="117"/>
    </row>
  </sheetData>
  <mergeCells count="7">
    <mergeCell ref="A32:I32"/>
    <mergeCell ref="A49:I49"/>
    <mergeCell ref="A1:I1"/>
    <mergeCell ref="A2:I2"/>
    <mergeCell ref="A5:I5"/>
    <mergeCell ref="A13:I13"/>
    <mergeCell ref="A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I37"/>
  <sheetViews>
    <sheetView showGridLines="0" zoomScale="85" zoomScaleNormal="85" workbookViewId="0">
      <selection activeCell="E29" sqref="E29"/>
    </sheetView>
  </sheetViews>
  <sheetFormatPr defaultColWidth="8.6640625" defaultRowHeight="14.4" x14ac:dyDescent="0.3"/>
  <cols>
    <col min="1" max="1" width="44" customWidth="1"/>
    <col min="2" max="9" width="12" customWidth="1"/>
  </cols>
  <sheetData>
    <row r="1" spans="1:9" ht="25.5" customHeight="1" x14ac:dyDescent="0.3">
      <c r="A1" s="123" t="s">
        <v>153</v>
      </c>
      <c r="B1" s="123"/>
      <c r="C1" s="123"/>
      <c r="D1" s="123"/>
      <c r="E1" s="123"/>
      <c r="F1" s="123"/>
      <c r="G1" s="123"/>
      <c r="H1" s="123"/>
      <c r="I1" s="123"/>
    </row>
    <row r="2" spans="1:9" ht="18" customHeight="1" x14ac:dyDescent="0.3">
      <c r="A2" s="119" t="s">
        <v>154</v>
      </c>
      <c r="B2" s="119"/>
      <c r="C2" s="119"/>
      <c r="D2" s="119"/>
      <c r="E2" s="119"/>
      <c r="F2" s="119"/>
      <c r="G2" s="119"/>
      <c r="H2" s="119"/>
      <c r="I2" s="119"/>
    </row>
    <row r="3" spans="1:9" ht="7.5" customHeight="1" x14ac:dyDescent="0.3"/>
    <row r="4" spans="1:9" ht="21.75" customHeight="1" x14ac:dyDescent="0.3">
      <c r="A4" s="12"/>
      <c r="B4" s="4" t="s">
        <v>114</v>
      </c>
      <c r="C4" s="4" t="s">
        <v>115</v>
      </c>
      <c r="D4" s="4" t="s">
        <v>116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</row>
    <row r="5" spans="1:9" ht="15" customHeight="1" x14ac:dyDescent="0.3">
      <c r="A5" s="122" t="s">
        <v>155</v>
      </c>
      <c r="B5" s="122"/>
      <c r="C5" s="122"/>
      <c r="D5" s="122"/>
      <c r="E5" s="122"/>
      <c r="F5" s="122"/>
      <c r="G5" s="122"/>
      <c r="H5" s="122"/>
      <c r="I5" s="122"/>
    </row>
    <row r="6" spans="1:9" x14ac:dyDescent="0.3">
      <c r="A6" s="7" t="s">
        <v>156</v>
      </c>
      <c r="B6" s="20">
        <v>1460000</v>
      </c>
      <c r="C6" s="20">
        <v>2297675</v>
      </c>
      <c r="D6" s="20">
        <v>1533287</v>
      </c>
      <c r="E6" s="29"/>
      <c r="F6" s="29"/>
      <c r="G6" s="29"/>
      <c r="H6" s="29"/>
      <c r="I6" s="29"/>
    </row>
    <row r="7" spans="1:9" x14ac:dyDescent="0.3">
      <c r="A7" s="7" t="s">
        <v>157</v>
      </c>
      <c r="B7" s="20">
        <v>516000</v>
      </c>
      <c r="C7" s="20">
        <v>955605</v>
      </c>
      <c r="D7" s="20">
        <v>0</v>
      </c>
      <c r="E7" s="20"/>
      <c r="F7" s="20"/>
      <c r="G7" s="20"/>
      <c r="H7" s="20"/>
      <c r="I7" s="20"/>
    </row>
    <row r="8" spans="1:9" x14ac:dyDescent="0.3">
      <c r="A8" s="7" t="s">
        <v>158</v>
      </c>
      <c r="B8" s="20">
        <v>1067000</v>
      </c>
      <c r="C8" s="20">
        <v>1193964</v>
      </c>
      <c r="D8" s="20">
        <v>1221646</v>
      </c>
      <c r="E8" s="14"/>
      <c r="F8" s="14"/>
      <c r="G8" s="14"/>
      <c r="H8" s="14"/>
      <c r="I8" s="14"/>
    </row>
    <row r="9" spans="1:9" x14ac:dyDescent="0.3">
      <c r="A9" s="7" t="s">
        <v>159</v>
      </c>
      <c r="B9" s="20">
        <v>835000</v>
      </c>
      <c r="C9" s="20">
        <v>971406</v>
      </c>
      <c r="D9" s="20">
        <v>737107</v>
      </c>
      <c r="E9" s="14"/>
      <c r="F9" s="14"/>
      <c r="G9" s="14"/>
      <c r="H9" s="14"/>
      <c r="I9" s="14"/>
    </row>
    <row r="10" spans="1:9" x14ac:dyDescent="0.3">
      <c r="A10" s="7" t="s">
        <v>160</v>
      </c>
      <c r="B10" s="20">
        <v>207000</v>
      </c>
      <c r="C10" s="20">
        <v>170346</v>
      </c>
      <c r="D10" s="20">
        <v>149464</v>
      </c>
      <c r="E10" s="29"/>
      <c r="F10" s="29"/>
      <c r="G10" s="29"/>
      <c r="H10" s="29"/>
      <c r="I10" s="29"/>
    </row>
    <row r="11" spans="1:9" x14ac:dyDescent="0.3">
      <c r="A11" s="1" t="s">
        <v>161</v>
      </c>
      <c r="B11" s="30">
        <f t="shared" ref="B11:D11" si="0">B6+B7+B8+B9+B10</f>
        <v>4085000</v>
      </c>
      <c r="C11" s="30">
        <f t="shared" si="0"/>
        <v>5588996</v>
      </c>
      <c r="D11" s="30">
        <f t="shared" si="0"/>
        <v>3641504</v>
      </c>
      <c r="E11" s="30"/>
      <c r="F11" s="30"/>
      <c r="G11" s="30"/>
      <c r="H11" s="30"/>
      <c r="I11" s="30"/>
    </row>
    <row r="12" spans="1:9" ht="7.5" customHeight="1" x14ac:dyDescent="0.3"/>
    <row r="13" spans="1:9" ht="15" customHeight="1" x14ac:dyDescent="0.3">
      <c r="A13" s="122" t="s">
        <v>162</v>
      </c>
      <c r="B13" s="122"/>
      <c r="C13" s="122"/>
      <c r="D13" s="122"/>
      <c r="E13" s="122"/>
      <c r="F13" s="122"/>
      <c r="G13" s="122"/>
      <c r="H13" s="122"/>
      <c r="I13" s="122"/>
    </row>
    <row r="14" spans="1:9" x14ac:dyDescent="0.3">
      <c r="A14" s="7" t="s">
        <v>163</v>
      </c>
      <c r="B14" s="20">
        <v>500000</v>
      </c>
      <c r="C14" s="20">
        <v>890796</v>
      </c>
      <c r="D14" s="20">
        <v>1047024</v>
      </c>
      <c r="E14" s="29"/>
      <c r="F14" s="29"/>
      <c r="G14" s="29"/>
      <c r="H14" s="29"/>
      <c r="I14" s="29"/>
    </row>
    <row r="15" spans="1:9" x14ac:dyDescent="0.3">
      <c r="A15" s="7" t="s">
        <v>164</v>
      </c>
      <c r="B15" s="20">
        <v>1375000</v>
      </c>
      <c r="C15" s="20">
        <v>1417941</v>
      </c>
      <c r="D15" s="20">
        <v>1331643</v>
      </c>
      <c r="E15" s="29"/>
      <c r="F15" s="29"/>
      <c r="G15" s="29"/>
      <c r="H15" s="29"/>
      <c r="I15" s="29"/>
    </row>
    <row r="16" spans="1:9" x14ac:dyDescent="0.3">
      <c r="A16" s="7" t="s">
        <v>165</v>
      </c>
      <c r="B16" s="20">
        <v>310000</v>
      </c>
      <c r="C16" s="20">
        <v>1427139</v>
      </c>
      <c r="D16" s="20">
        <v>1414252</v>
      </c>
      <c r="E16" s="29"/>
      <c r="F16" s="29"/>
      <c r="G16" s="29"/>
      <c r="H16" s="29"/>
      <c r="I16" s="29"/>
    </row>
    <row r="17" spans="1:9" x14ac:dyDescent="0.3">
      <c r="A17" s="7" t="s">
        <v>166</v>
      </c>
      <c r="B17" s="20">
        <v>320000</v>
      </c>
      <c r="C17" s="20">
        <v>285219</v>
      </c>
      <c r="D17" s="20">
        <v>284666</v>
      </c>
      <c r="E17" s="29"/>
      <c r="F17" s="29"/>
      <c r="G17" s="29"/>
      <c r="H17" s="29"/>
      <c r="I17" s="29"/>
    </row>
    <row r="18" spans="1:9" x14ac:dyDescent="0.3">
      <c r="A18" s="1" t="s">
        <v>167</v>
      </c>
      <c r="B18" s="30">
        <f t="shared" ref="B18:D18" si="1">B11+B14+B15+B16+B17</f>
        <v>6590000</v>
      </c>
      <c r="C18" s="30">
        <f t="shared" si="1"/>
        <v>9610091</v>
      </c>
      <c r="D18" s="30">
        <f t="shared" si="1"/>
        <v>7719089</v>
      </c>
      <c r="E18" s="30"/>
      <c r="F18" s="30"/>
      <c r="G18" s="30"/>
      <c r="H18" s="30"/>
      <c r="I18" s="30"/>
    </row>
    <row r="19" spans="1:9" ht="7.5" customHeight="1" x14ac:dyDescent="0.3"/>
    <row r="20" spans="1:9" ht="15" customHeight="1" x14ac:dyDescent="0.3">
      <c r="A20" s="122" t="s">
        <v>168</v>
      </c>
      <c r="B20" s="122"/>
      <c r="C20" s="122"/>
      <c r="D20" s="122"/>
      <c r="E20" s="122"/>
      <c r="F20" s="122"/>
      <c r="G20" s="122"/>
      <c r="H20" s="122"/>
      <c r="I20" s="122"/>
    </row>
    <row r="21" spans="1:9" x14ac:dyDescent="0.3">
      <c r="A21" s="7" t="s">
        <v>169</v>
      </c>
      <c r="B21" s="20">
        <v>470000</v>
      </c>
      <c r="C21" s="20">
        <v>564379</v>
      </c>
      <c r="D21" s="20">
        <v>466775</v>
      </c>
      <c r="E21" s="14"/>
      <c r="F21" s="14"/>
      <c r="G21" s="14"/>
      <c r="H21" s="14"/>
      <c r="I21" s="14"/>
    </row>
    <row r="22" spans="1:9" x14ac:dyDescent="0.3">
      <c r="A22" s="7" t="s">
        <v>170</v>
      </c>
      <c r="B22" s="20">
        <v>620000</v>
      </c>
      <c r="C22" s="20">
        <v>591290</v>
      </c>
      <c r="D22" s="20">
        <v>624934</v>
      </c>
      <c r="E22" s="29"/>
      <c r="F22" s="29"/>
      <c r="G22" s="29"/>
      <c r="H22" s="29"/>
      <c r="I22" s="29"/>
    </row>
    <row r="23" spans="1:9" x14ac:dyDescent="0.3">
      <c r="A23" s="1" t="s">
        <v>171</v>
      </c>
      <c r="B23" s="30">
        <f t="shared" ref="B23:D23" si="2">B21+B22</f>
        <v>1090000</v>
      </c>
      <c r="C23" s="30">
        <f t="shared" si="2"/>
        <v>1155669</v>
      </c>
      <c r="D23" s="30">
        <f t="shared" si="2"/>
        <v>1091709</v>
      </c>
      <c r="E23" s="30"/>
      <c r="F23" s="30"/>
      <c r="G23" s="30"/>
      <c r="H23" s="30"/>
      <c r="I23" s="30"/>
    </row>
    <row r="24" spans="1:9" ht="7.5" customHeight="1" x14ac:dyDescent="0.3"/>
    <row r="25" spans="1:9" ht="15" customHeight="1" x14ac:dyDescent="0.3">
      <c r="A25" s="122" t="s">
        <v>172</v>
      </c>
      <c r="B25" s="122"/>
      <c r="C25" s="122"/>
      <c r="D25" s="122"/>
      <c r="E25" s="122"/>
      <c r="F25" s="122"/>
      <c r="G25" s="122"/>
      <c r="H25" s="122"/>
      <c r="I25" s="122"/>
    </row>
    <row r="26" spans="1:9" x14ac:dyDescent="0.3">
      <c r="A26" s="7" t="s">
        <v>173</v>
      </c>
      <c r="B26" s="20">
        <v>0</v>
      </c>
      <c r="C26" s="20">
        <v>0</v>
      </c>
      <c r="D26" s="20">
        <v>373951</v>
      </c>
      <c r="E26" s="14"/>
      <c r="F26" s="14"/>
      <c r="G26" s="14"/>
      <c r="H26" s="14"/>
      <c r="I26" s="14"/>
    </row>
    <row r="27" spans="1:9" x14ac:dyDescent="0.3">
      <c r="A27" s="7" t="s">
        <v>174</v>
      </c>
      <c r="B27" s="20">
        <v>380000</v>
      </c>
      <c r="C27" s="20">
        <v>296089</v>
      </c>
      <c r="D27" s="20">
        <v>224817</v>
      </c>
      <c r="E27" s="29"/>
      <c r="F27" s="29"/>
      <c r="G27" s="29"/>
      <c r="H27" s="29"/>
      <c r="I27" s="29"/>
    </row>
    <row r="28" spans="1:9" x14ac:dyDescent="0.3">
      <c r="A28" s="1" t="s">
        <v>175</v>
      </c>
      <c r="B28" s="30">
        <f t="shared" ref="B28:D28" si="3">B23+B26+B27</f>
        <v>1470000</v>
      </c>
      <c r="C28" s="30">
        <f t="shared" si="3"/>
        <v>1451758</v>
      </c>
      <c r="D28" s="30">
        <f t="shared" si="3"/>
        <v>1690477</v>
      </c>
      <c r="E28" s="30"/>
      <c r="F28" s="30"/>
      <c r="G28" s="30"/>
      <c r="H28" s="30"/>
      <c r="I28" s="30"/>
    </row>
    <row r="29" spans="1:9" ht="7.5" customHeight="1" x14ac:dyDescent="0.3"/>
    <row r="30" spans="1:9" ht="15" customHeight="1" x14ac:dyDescent="0.3">
      <c r="A30" s="122" t="s">
        <v>176</v>
      </c>
      <c r="B30" s="122"/>
      <c r="C30" s="122"/>
      <c r="D30" s="122"/>
      <c r="E30" s="122"/>
      <c r="F30" s="122"/>
      <c r="G30" s="122"/>
      <c r="H30" s="122"/>
      <c r="I30" s="122"/>
    </row>
    <row r="31" spans="1:9" x14ac:dyDescent="0.3">
      <c r="A31" s="7" t="s">
        <v>177</v>
      </c>
      <c r="B31" s="20">
        <v>4700000</v>
      </c>
      <c r="C31" s="20">
        <v>4980728</v>
      </c>
      <c r="D31" s="20">
        <v>5150554</v>
      </c>
      <c r="E31" s="29"/>
      <c r="F31" s="29"/>
      <c r="G31" s="29"/>
      <c r="H31" s="29"/>
      <c r="I31" s="29"/>
    </row>
    <row r="32" spans="1:9" x14ac:dyDescent="0.3">
      <c r="A32" s="7" t="s">
        <v>178</v>
      </c>
      <c r="B32" s="20">
        <v>4308000</v>
      </c>
      <c r="C32" s="20">
        <v>5939736</v>
      </c>
      <c r="D32" s="20">
        <v>7448784</v>
      </c>
      <c r="E32" s="14"/>
      <c r="F32" s="14"/>
      <c r="G32" s="14"/>
      <c r="H32" s="14"/>
      <c r="I32" s="14"/>
    </row>
    <row r="33" spans="1:9" x14ac:dyDescent="0.3">
      <c r="A33" s="7" t="s">
        <v>179</v>
      </c>
      <c r="B33" s="20">
        <v>-2516000</v>
      </c>
      <c r="C33" s="20">
        <v>-2691720</v>
      </c>
      <c r="D33" s="20">
        <v>-6641620</v>
      </c>
      <c r="E33" s="29"/>
      <c r="F33" s="29"/>
      <c r="G33" s="29"/>
      <c r="H33" s="29"/>
      <c r="I33" s="29"/>
    </row>
    <row r="34" spans="1:9" x14ac:dyDescent="0.3">
      <c r="A34" s="33" t="s">
        <v>180</v>
      </c>
      <c r="B34" s="34">
        <f t="shared" ref="B34:D34" si="4">B31+B32+B33</f>
        <v>6492000</v>
      </c>
      <c r="C34" s="34">
        <f t="shared" si="4"/>
        <v>8228744</v>
      </c>
      <c r="D34" s="34">
        <f t="shared" si="4"/>
        <v>5957718</v>
      </c>
      <c r="E34" s="34"/>
      <c r="F34" s="34"/>
      <c r="G34" s="34"/>
      <c r="H34" s="34"/>
      <c r="I34" s="34"/>
    </row>
    <row r="35" spans="1:9" x14ac:dyDescent="0.3">
      <c r="A35" s="33" t="s">
        <v>181</v>
      </c>
      <c r="B35" s="34">
        <f t="shared" ref="B35:D35" si="5">B28+B34</f>
        <v>7962000</v>
      </c>
      <c r="C35" s="34">
        <f t="shared" si="5"/>
        <v>9680502</v>
      </c>
      <c r="D35" s="34">
        <f t="shared" si="5"/>
        <v>7648195</v>
      </c>
      <c r="E35" s="34"/>
      <c r="F35" s="34"/>
      <c r="G35" s="34"/>
      <c r="H35" s="34"/>
      <c r="I35" s="34"/>
    </row>
    <row r="37" spans="1:9" x14ac:dyDescent="0.3">
      <c r="A37" s="31" t="s">
        <v>182</v>
      </c>
      <c r="B37" s="37">
        <f t="shared" ref="B37:I37" si="6">B18-B35</f>
        <v>-1372000</v>
      </c>
      <c r="C37" s="37">
        <f t="shared" si="6"/>
        <v>-70411</v>
      </c>
      <c r="D37" s="37">
        <f t="shared" si="6"/>
        <v>70894</v>
      </c>
      <c r="E37" s="37">
        <f t="shared" si="6"/>
        <v>0</v>
      </c>
      <c r="F37" s="37">
        <f t="shared" si="6"/>
        <v>0</v>
      </c>
      <c r="G37" s="37">
        <f t="shared" si="6"/>
        <v>0</v>
      </c>
      <c r="H37" s="37">
        <f t="shared" si="6"/>
        <v>0</v>
      </c>
      <c r="I37" s="37">
        <f t="shared" si="6"/>
        <v>0</v>
      </c>
    </row>
  </sheetData>
  <mergeCells count="7">
    <mergeCell ref="A25:I25"/>
    <mergeCell ref="A30:I30"/>
    <mergeCell ref="A1:I1"/>
    <mergeCell ref="A2:I2"/>
    <mergeCell ref="A5:I5"/>
    <mergeCell ref="A13:I13"/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</sheetPr>
  <dimension ref="A1:I34"/>
  <sheetViews>
    <sheetView showGridLines="0" zoomScale="85" zoomScaleNormal="85" workbookViewId="0">
      <selection activeCell="D19" sqref="D19"/>
    </sheetView>
  </sheetViews>
  <sheetFormatPr defaultColWidth="8.6640625" defaultRowHeight="14.4" x14ac:dyDescent="0.3"/>
  <cols>
    <col min="1" max="1" width="44" customWidth="1"/>
    <col min="2" max="9" width="12" customWidth="1"/>
  </cols>
  <sheetData>
    <row r="1" spans="1:9" ht="25.5" customHeight="1" x14ac:dyDescent="0.3">
      <c r="A1" s="123" t="s">
        <v>183</v>
      </c>
      <c r="B1" s="123"/>
      <c r="C1" s="123"/>
      <c r="D1" s="123"/>
      <c r="E1" s="123"/>
      <c r="F1" s="123"/>
      <c r="G1" s="123"/>
      <c r="H1" s="123"/>
      <c r="I1" s="123"/>
    </row>
    <row r="2" spans="1:9" ht="18" customHeight="1" x14ac:dyDescent="0.3">
      <c r="A2" s="119" t="s">
        <v>184</v>
      </c>
      <c r="B2" s="119"/>
      <c r="C2" s="119"/>
      <c r="D2" s="119"/>
      <c r="E2" s="119"/>
      <c r="F2" s="119"/>
      <c r="G2" s="119"/>
      <c r="H2" s="119"/>
      <c r="I2" s="119"/>
    </row>
    <row r="4" spans="1:9" ht="21.75" customHeight="1" x14ac:dyDescent="0.3">
      <c r="A4" s="12"/>
      <c r="B4" s="4" t="s">
        <v>114</v>
      </c>
      <c r="C4" s="4" t="s">
        <v>115</v>
      </c>
      <c r="D4" s="4" t="s">
        <v>116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</row>
    <row r="5" spans="1:9" ht="15" customHeight="1" x14ac:dyDescent="0.3">
      <c r="A5" s="122" t="s">
        <v>185</v>
      </c>
      <c r="B5" s="122"/>
      <c r="C5" s="122"/>
      <c r="D5" s="122"/>
      <c r="E5" s="122"/>
      <c r="F5" s="122"/>
      <c r="G5" s="122"/>
      <c r="H5" s="122"/>
      <c r="I5" s="122"/>
    </row>
    <row r="6" spans="1:9" x14ac:dyDescent="0.3">
      <c r="A6" s="7" t="s">
        <v>186</v>
      </c>
      <c r="B6" s="20">
        <v>1191624</v>
      </c>
      <c r="C6" s="20">
        <v>1630988</v>
      </c>
      <c r="D6" s="20">
        <v>1509048</v>
      </c>
      <c r="E6" s="14"/>
      <c r="F6" s="14"/>
      <c r="G6" s="14"/>
      <c r="H6" s="14"/>
      <c r="I6" s="14"/>
    </row>
    <row r="7" spans="1:9" x14ac:dyDescent="0.3">
      <c r="A7" s="7" t="s">
        <v>187</v>
      </c>
      <c r="B7" s="20">
        <v>70186</v>
      </c>
      <c r="C7" s="20">
        <v>84507</v>
      </c>
      <c r="D7" s="20">
        <v>113721</v>
      </c>
      <c r="E7" s="14"/>
      <c r="F7" s="14"/>
      <c r="G7" s="14"/>
      <c r="H7" s="14"/>
      <c r="I7" s="14"/>
    </row>
    <row r="8" spans="1:9" x14ac:dyDescent="0.3">
      <c r="A8" s="7" t="s">
        <v>188</v>
      </c>
      <c r="B8" s="20">
        <v>61842</v>
      </c>
      <c r="C8" s="20">
        <v>68218</v>
      </c>
      <c r="D8" s="20">
        <v>82278</v>
      </c>
      <c r="E8" s="14"/>
      <c r="F8" s="14"/>
      <c r="G8" s="14"/>
      <c r="H8" s="14"/>
      <c r="I8" s="14"/>
    </row>
    <row r="9" spans="1:9" x14ac:dyDescent="0.3">
      <c r="A9" s="7" t="s">
        <v>189</v>
      </c>
      <c r="B9" s="20">
        <v>0</v>
      </c>
      <c r="C9" s="20">
        <v>42736</v>
      </c>
      <c r="D9" s="20">
        <v>138762</v>
      </c>
      <c r="E9" s="14"/>
      <c r="F9" s="14"/>
      <c r="G9" s="14"/>
      <c r="H9" s="14"/>
      <c r="I9" s="14"/>
    </row>
    <row r="10" spans="1:9" x14ac:dyDescent="0.3">
      <c r="A10" s="7" t="s">
        <v>190</v>
      </c>
      <c r="B10" s="20">
        <v>-166201</v>
      </c>
      <c r="C10" s="20">
        <v>-126700</v>
      </c>
      <c r="D10" s="20">
        <v>-28012</v>
      </c>
      <c r="E10" s="14"/>
      <c r="F10" s="14"/>
      <c r="G10" s="14"/>
      <c r="H10" s="14"/>
      <c r="I10" s="14"/>
    </row>
    <row r="11" spans="1:9" x14ac:dyDescent="0.3">
      <c r="A11" s="7" t="s">
        <v>191</v>
      </c>
      <c r="B11" s="20">
        <v>-189234</v>
      </c>
      <c r="C11" s="20">
        <v>64600</v>
      </c>
      <c r="D11" s="20">
        <v>234299</v>
      </c>
      <c r="E11" s="14"/>
      <c r="F11" s="14"/>
      <c r="G11" s="14"/>
      <c r="H11" s="14"/>
      <c r="I11" s="14"/>
    </row>
    <row r="12" spans="1:9" x14ac:dyDescent="0.3">
      <c r="A12" s="7" t="s">
        <v>192</v>
      </c>
      <c r="B12" s="20">
        <v>94736</v>
      </c>
      <c r="C12" s="20">
        <v>57847</v>
      </c>
      <c r="D12" s="20">
        <v>-97604</v>
      </c>
      <c r="E12" s="14"/>
      <c r="F12" s="14"/>
      <c r="G12" s="14"/>
      <c r="H12" s="14"/>
      <c r="I12" s="14"/>
    </row>
    <row r="13" spans="1:9" x14ac:dyDescent="0.3">
      <c r="A13" s="7" t="s">
        <v>193</v>
      </c>
      <c r="B13" s="20">
        <v>105966</v>
      </c>
      <c r="C13" s="20">
        <v>96904</v>
      </c>
      <c r="D13" s="20">
        <v>3608</v>
      </c>
      <c r="E13" s="20"/>
      <c r="F13" s="20"/>
      <c r="G13" s="20"/>
      <c r="H13" s="20"/>
      <c r="I13" s="20"/>
    </row>
    <row r="14" spans="1:9" x14ac:dyDescent="0.3">
      <c r="A14" s="33" t="s">
        <v>194</v>
      </c>
      <c r="B14" s="38">
        <v>1169319</v>
      </c>
      <c r="C14" s="38">
        <v>1719100</v>
      </c>
      <c r="D14" s="38">
        <v>1927100</v>
      </c>
      <c r="E14" s="34"/>
      <c r="F14" s="34"/>
      <c r="G14" s="34"/>
      <c r="H14" s="34"/>
      <c r="I14" s="34"/>
    </row>
    <row r="16" spans="1:9" ht="15" customHeight="1" x14ac:dyDescent="0.3">
      <c r="A16" s="122" t="s">
        <v>195</v>
      </c>
      <c r="B16" s="122"/>
      <c r="C16" s="122"/>
      <c r="D16" s="122"/>
      <c r="E16" s="122"/>
      <c r="F16" s="122"/>
      <c r="G16" s="122"/>
      <c r="H16" s="122"/>
      <c r="I16" s="122"/>
    </row>
    <row r="17" spans="1:9" x14ac:dyDescent="0.3">
      <c r="A17" s="7" t="s">
        <v>196</v>
      </c>
      <c r="B17" s="20">
        <v>-127049</v>
      </c>
      <c r="C17" s="20">
        <v>-221312</v>
      </c>
      <c r="D17" s="20">
        <v>-264118</v>
      </c>
      <c r="E17" s="14"/>
      <c r="F17" s="14"/>
      <c r="G17" s="14"/>
      <c r="H17" s="14"/>
      <c r="I17" s="14"/>
    </row>
    <row r="18" spans="1:9" x14ac:dyDescent="0.3">
      <c r="A18" s="7" t="s">
        <v>197</v>
      </c>
      <c r="B18" s="20">
        <v>-465000</v>
      </c>
      <c r="C18" s="20">
        <v>167700</v>
      </c>
      <c r="D18" s="20">
        <v>1032036</v>
      </c>
      <c r="E18" s="20"/>
      <c r="F18" s="20"/>
      <c r="G18" s="20"/>
      <c r="H18" s="20"/>
      <c r="I18" s="20"/>
    </row>
    <row r="19" spans="1:9" x14ac:dyDescent="0.3">
      <c r="A19" s="1" t="s">
        <v>198</v>
      </c>
      <c r="B19" s="39">
        <v>-592049</v>
      </c>
      <c r="C19" s="39">
        <v>-53612</v>
      </c>
      <c r="D19" s="39">
        <v>764818</v>
      </c>
      <c r="E19" s="30"/>
      <c r="F19" s="30"/>
      <c r="G19" s="30"/>
      <c r="H19" s="30"/>
      <c r="I19" s="30"/>
    </row>
    <row r="20" spans="1:9" ht="7.5" customHeight="1" x14ac:dyDescent="0.3"/>
    <row r="21" spans="1:9" ht="15" customHeight="1" x14ac:dyDescent="0.3">
      <c r="A21" s="122" t="s">
        <v>199</v>
      </c>
      <c r="B21" s="122"/>
      <c r="C21" s="122"/>
      <c r="D21" s="122"/>
      <c r="E21" s="122"/>
      <c r="F21" s="122"/>
      <c r="G21" s="122"/>
      <c r="H21" s="122"/>
      <c r="I21" s="122"/>
    </row>
    <row r="22" spans="1:9" x14ac:dyDescent="0.3">
      <c r="A22" s="7" t="s">
        <v>200</v>
      </c>
      <c r="B22" s="20">
        <v>-193000</v>
      </c>
      <c r="C22" s="20">
        <v>-573800</v>
      </c>
      <c r="D22" s="20">
        <v>-3762100</v>
      </c>
      <c r="E22" s="14"/>
      <c r="F22" s="14"/>
      <c r="G22" s="14"/>
      <c r="H22" s="14"/>
      <c r="I22" s="14"/>
    </row>
    <row r="23" spans="1:9" x14ac:dyDescent="0.3">
      <c r="A23" s="7" t="s">
        <v>201</v>
      </c>
      <c r="B23" s="20">
        <v>171584</v>
      </c>
      <c r="C23" s="20">
        <v>205671</v>
      </c>
      <c r="D23" s="20">
        <v>100328</v>
      </c>
      <c r="E23" s="20"/>
      <c r="F23" s="20"/>
      <c r="G23" s="20"/>
      <c r="H23" s="20"/>
      <c r="I23" s="20"/>
    </row>
    <row r="24" spans="1:9" x14ac:dyDescent="0.3">
      <c r="A24" s="7" t="s">
        <v>202</v>
      </c>
      <c r="B24" s="20">
        <v>0</v>
      </c>
      <c r="C24" s="20">
        <v>0</v>
      </c>
      <c r="D24" s="20">
        <v>744600</v>
      </c>
      <c r="E24" s="14"/>
      <c r="F24" s="14"/>
      <c r="G24" s="14"/>
      <c r="H24" s="14"/>
      <c r="I24" s="14"/>
    </row>
    <row r="25" spans="1:9" x14ac:dyDescent="0.3">
      <c r="A25" s="40" t="s">
        <v>203</v>
      </c>
      <c r="B25" s="41">
        <v>-160378</v>
      </c>
      <c r="C25" s="41">
        <v>-583529</v>
      </c>
      <c r="D25" s="41">
        <v>-2942890</v>
      </c>
      <c r="E25" s="42"/>
      <c r="F25" s="42"/>
      <c r="G25" s="42"/>
      <c r="H25" s="42"/>
      <c r="I25" s="42"/>
    </row>
    <row r="26" spans="1:9" ht="7.5" customHeight="1" x14ac:dyDescent="0.3"/>
    <row r="27" spans="1:9" x14ac:dyDescent="0.3">
      <c r="A27" s="7" t="s">
        <v>204</v>
      </c>
      <c r="B27" s="20">
        <v>-24131</v>
      </c>
      <c r="C27" s="20">
        <v>-15831</v>
      </c>
      <c r="D27" s="20">
        <v>-17741</v>
      </c>
      <c r="E27" s="20"/>
      <c r="F27" s="20"/>
      <c r="G27" s="20"/>
      <c r="H27" s="20"/>
      <c r="I27" s="20"/>
    </row>
    <row r="28" spans="1:9" x14ac:dyDescent="0.3">
      <c r="A28" s="43" t="s">
        <v>205</v>
      </c>
      <c r="B28" s="39">
        <v>84258</v>
      </c>
      <c r="C28" s="39">
        <v>341538</v>
      </c>
      <c r="D28" s="39">
        <v>-268713</v>
      </c>
      <c r="E28" s="30"/>
      <c r="F28" s="30"/>
      <c r="G28" s="30"/>
      <c r="H28" s="30"/>
      <c r="I28" s="30"/>
    </row>
    <row r="29" spans="1:9" x14ac:dyDescent="0.3">
      <c r="A29" s="7" t="s">
        <v>206</v>
      </c>
      <c r="B29" s="20">
        <v>1376204</v>
      </c>
      <c r="C29" s="20">
        <v>1460462</v>
      </c>
      <c r="D29" s="20">
        <v>1802000</v>
      </c>
      <c r="E29" s="14"/>
      <c r="F29" s="14"/>
      <c r="G29" s="14"/>
      <c r="H29" s="14"/>
      <c r="I29" s="14"/>
    </row>
    <row r="30" spans="1:9" x14ac:dyDescent="0.3">
      <c r="A30" s="7" t="s">
        <v>207</v>
      </c>
      <c r="B30" s="20">
        <v>1460462</v>
      </c>
      <c r="C30" s="20">
        <v>1802000</v>
      </c>
      <c r="D30" s="20">
        <v>1533287</v>
      </c>
      <c r="E30" s="29"/>
      <c r="F30" s="29"/>
      <c r="G30" s="29"/>
      <c r="H30" s="29"/>
      <c r="I30" s="29"/>
    </row>
    <row r="31" spans="1:9" ht="7.5" customHeight="1" x14ac:dyDescent="0.3">
      <c r="A31" s="44" t="s">
        <v>208</v>
      </c>
    </row>
    <row r="32" spans="1:9" x14ac:dyDescent="0.3">
      <c r="A32" s="7" t="s">
        <v>209</v>
      </c>
      <c r="B32" s="38">
        <v>1042270</v>
      </c>
      <c r="C32" s="38">
        <v>1497788</v>
      </c>
      <c r="D32" s="38">
        <v>1662982</v>
      </c>
      <c r="E32" s="34"/>
      <c r="F32" s="34"/>
      <c r="G32" s="34"/>
      <c r="H32" s="34"/>
      <c r="I32" s="34"/>
    </row>
    <row r="33" spans="1:9" x14ac:dyDescent="0.3">
      <c r="A33" s="31" t="s">
        <v>210</v>
      </c>
      <c r="B33" s="32">
        <f>B32/'Income Statement'!B10</f>
        <v>0.16515001465683207</v>
      </c>
      <c r="C33" s="32">
        <f>C32/'Income Statement'!C10</f>
        <v>0.20977343643098267</v>
      </c>
      <c r="D33" s="32">
        <f>D32/'Income Statement'!D10</f>
        <v>0.22194669511387671</v>
      </c>
      <c r="E33" s="32"/>
      <c r="F33" s="32"/>
      <c r="G33" s="32"/>
      <c r="H33" s="32"/>
      <c r="I33" s="32"/>
    </row>
    <row r="34" spans="1:9" x14ac:dyDescent="0.3">
      <c r="A34" s="31" t="s">
        <v>211</v>
      </c>
      <c r="B34" s="45">
        <f>B32/'Income Statement'!B45/1000</f>
        <v>0.97764750023449976</v>
      </c>
      <c r="C34" s="45">
        <f>C32/'Income Statement'!C45/1000</f>
        <v>1.4156786389413989</v>
      </c>
      <c r="D34" s="45">
        <f>D32/'Income Statement'!D45/1000</f>
        <v>1.6414786299476853</v>
      </c>
      <c r="E34" s="45"/>
      <c r="F34" s="45"/>
      <c r="G34" s="45"/>
      <c r="H34" s="45"/>
      <c r="I34" s="45"/>
    </row>
  </sheetData>
  <mergeCells count="5">
    <mergeCell ref="A1:I1"/>
    <mergeCell ref="A2:I2"/>
    <mergeCell ref="A5:I5"/>
    <mergeCell ref="A16:I16"/>
    <mergeCell ref="A21:I2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3"/>
  <sheetViews>
    <sheetView showGridLines="0" topLeftCell="A24" zoomScale="98" zoomScaleNormal="85" workbookViewId="0">
      <selection sqref="A1:I53"/>
    </sheetView>
  </sheetViews>
  <sheetFormatPr defaultColWidth="8.6640625" defaultRowHeight="14.4" x14ac:dyDescent="0.3"/>
  <cols>
    <col min="1" max="1" width="40" customWidth="1"/>
    <col min="2" max="6" width="13" customWidth="1"/>
    <col min="7" max="7" width="14" customWidth="1"/>
  </cols>
  <sheetData>
    <row r="1" spans="1:9" ht="25.5" customHeight="1" x14ac:dyDescent="0.3">
      <c r="A1" s="123" t="s">
        <v>212</v>
      </c>
      <c r="B1" s="123"/>
      <c r="C1" s="123"/>
      <c r="D1" s="123"/>
      <c r="E1" s="123"/>
      <c r="F1" s="123"/>
      <c r="G1" s="123"/>
      <c r="H1" s="123"/>
      <c r="I1" s="123"/>
    </row>
    <row r="2" spans="1:9" ht="18" customHeight="1" x14ac:dyDescent="0.3">
      <c r="A2" s="119" t="s">
        <v>213</v>
      </c>
      <c r="B2" s="119"/>
      <c r="C2" s="119"/>
      <c r="D2" s="119"/>
      <c r="E2" s="119"/>
      <c r="F2" s="119"/>
      <c r="G2" s="119"/>
      <c r="H2" s="119"/>
      <c r="I2" s="119"/>
    </row>
    <row r="3" spans="1:9" ht="21.75" customHeight="1" x14ac:dyDescent="0.3">
      <c r="A3" s="12"/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4" t="s">
        <v>214</v>
      </c>
    </row>
    <row r="4" spans="1:9" x14ac:dyDescent="0.3">
      <c r="A4" s="7" t="s">
        <v>215</v>
      </c>
      <c r="B4" s="8"/>
      <c r="G4" s="2" t="s">
        <v>216</v>
      </c>
    </row>
    <row r="5" spans="1:9" x14ac:dyDescent="0.3">
      <c r="A5" s="7" t="s">
        <v>217</v>
      </c>
      <c r="B5" s="8"/>
    </row>
    <row r="6" spans="1:9" ht="7.5" customHeight="1" x14ac:dyDescent="0.3"/>
    <row r="7" spans="1:9" ht="15" customHeight="1" x14ac:dyDescent="0.3">
      <c r="A7" s="122" t="s">
        <v>218</v>
      </c>
      <c r="B7" s="122"/>
      <c r="C7" s="122"/>
      <c r="D7" s="122"/>
      <c r="E7" s="122"/>
      <c r="F7" s="122"/>
      <c r="G7" s="122"/>
    </row>
    <row r="8" spans="1:9" x14ac:dyDescent="0.3">
      <c r="A8" s="7" t="s">
        <v>219</v>
      </c>
      <c r="B8" s="14"/>
      <c r="C8" s="14"/>
      <c r="D8" s="14"/>
      <c r="E8" s="14"/>
      <c r="F8" s="14"/>
    </row>
    <row r="9" spans="1:9" x14ac:dyDescent="0.3">
      <c r="A9" s="7" t="s">
        <v>220</v>
      </c>
      <c r="B9" s="29"/>
      <c r="C9" s="29"/>
      <c r="D9" s="29"/>
      <c r="E9" s="29"/>
      <c r="F9" s="29"/>
    </row>
    <row r="10" spans="1:9" x14ac:dyDescent="0.3">
      <c r="A10" s="7" t="s">
        <v>221</v>
      </c>
      <c r="B10" s="14"/>
      <c r="C10" s="14"/>
      <c r="D10" s="14"/>
      <c r="E10" s="14"/>
      <c r="F10" s="14"/>
    </row>
    <row r="11" spans="1:9" x14ac:dyDescent="0.3">
      <c r="A11" s="7" t="s">
        <v>222</v>
      </c>
      <c r="B11" s="14"/>
      <c r="C11" s="14"/>
      <c r="D11" s="14"/>
      <c r="E11" s="14"/>
      <c r="F11" s="14"/>
    </row>
    <row r="12" spans="1:9" x14ac:dyDescent="0.3">
      <c r="A12" s="7" t="s">
        <v>223</v>
      </c>
      <c r="B12" s="14"/>
      <c r="C12" s="14"/>
      <c r="D12" s="14"/>
      <c r="E12" s="14"/>
      <c r="F12" s="14"/>
    </row>
    <row r="13" spans="1:9" x14ac:dyDescent="0.3">
      <c r="A13" s="43" t="s">
        <v>224</v>
      </c>
      <c r="B13" s="34"/>
      <c r="C13" s="34"/>
      <c r="D13" s="34"/>
      <c r="E13" s="34"/>
      <c r="F13" s="34"/>
    </row>
    <row r="14" spans="1:9" x14ac:dyDescent="0.3">
      <c r="A14" s="7" t="s">
        <v>225</v>
      </c>
      <c r="B14" s="22"/>
      <c r="C14" s="22"/>
      <c r="D14" s="22"/>
      <c r="E14" s="22"/>
      <c r="F14" s="22"/>
    </row>
    <row r="15" spans="1:9" x14ac:dyDescent="0.3">
      <c r="A15" s="7" t="s">
        <v>226</v>
      </c>
      <c r="B15" s="46"/>
      <c r="C15" s="46"/>
      <c r="D15" s="46"/>
      <c r="E15" s="46"/>
      <c r="F15" s="46"/>
    </row>
    <row r="16" spans="1:9" x14ac:dyDescent="0.3">
      <c r="A16" s="43" t="s">
        <v>227</v>
      </c>
      <c r="B16" s="47"/>
      <c r="C16" s="47"/>
      <c r="D16" s="47"/>
      <c r="E16" s="47"/>
      <c r="F16" s="47"/>
    </row>
    <row r="17" spans="1:7" ht="7.5" customHeight="1" x14ac:dyDescent="0.3"/>
    <row r="18" spans="1:7" ht="15" customHeight="1" x14ac:dyDescent="0.3">
      <c r="A18" s="122" t="s">
        <v>228</v>
      </c>
      <c r="B18" s="122"/>
      <c r="C18" s="122"/>
      <c r="D18" s="122"/>
      <c r="E18" s="122"/>
      <c r="F18" s="122"/>
      <c r="G18" s="122"/>
    </row>
    <row r="19" spans="1:7" x14ac:dyDescent="0.3">
      <c r="A19" s="7" t="s">
        <v>229</v>
      </c>
      <c r="B19" s="48"/>
    </row>
    <row r="20" spans="1:7" x14ac:dyDescent="0.3">
      <c r="A20" s="7" t="s">
        <v>230</v>
      </c>
      <c r="B20" s="29"/>
    </row>
    <row r="21" spans="1:7" x14ac:dyDescent="0.3">
      <c r="A21" s="7" t="s">
        <v>231</v>
      </c>
      <c r="B21" s="29"/>
    </row>
    <row r="22" spans="1:7" x14ac:dyDescent="0.3">
      <c r="A22" s="43" t="s">
        <v>232</v>
      </c>
      <c r="B22" s="30"/>
      <c r="G22" s="2" t="s">
        <v>233</v>
      </c>
    </row>
    <row r="23" spans="1:7" x14ac:dyDescent="0.3">
      <c r="A23" s="7" t="s">
        <v>234</v>
      </c>
      <c r="B23" s="14"/>
    </row>
    <row r="24" spans="1:7" x14ac:dyDescent="0.3">
      <c r="A24" s="43" t="s">
        <v>235</v>
      </c>
      <c r="B24" s="34"/>
    </row>
    <row r="25" spans="1:7" x14ac:dyDescent="0.3">
      <c r="A25" s="7" t="s">
        <v>236</v>
      </c>
      <c r="B25" s="10"/>
    </row>
    <row r="26" spans="1:7" x14ac:dyDescent="0.3">
      <c r="A26" s="43" t="s">
        <v>237</v>
      </c>
      <c r="B26" s="49"/>
    </row>
    <row r="27" spans="1:7" x14ac:dyDescent="0.3">
      <c r="A27" s="7" t="s">
        <v>238</v>
      </c>
      <c r="B27" s="15"/>
    </row>
    <row r="28" spans="1:7" x14ac:dyDescent="0.3">
      <c r="A28" s="43" t="s">
        <v>239</v>
      </c>
      <c r="B28" s="50"/>
    </row>
    <row r="29" spans="1:7" ht="7.5" customHeight="1" x14ac:dyDescent="0.3"/>
    <row r="30" spans="1:7" ht="15" customHeight="1" x14ac:dyDescent="0.3">
      <c r="A30" s="122" t="s">
        <v>240</v>
      </c>
      <c r="B30" s="122"/>
      <c r="C30" s="122"/>
      <c r="D30" s="122"/>
      <c r="E30" s="122"/>
      <c r="F30" s="122"/>
      <c r="G30" s="122"/>
    </row>
    <row r="31" spans="1:7" x14ac:dyDescent="0.3">
      <c r="A31" s="7" t="s">
        <v>241</v>
      </c>
      <c r="B31" s="14"/>
    </row>
    <row r="32" spans="1:7" x14ac:dyDescent="0.3">
      <c r="A32" s="7" t="s">
        <v>242</v>
      </c>
      <c r="B32" s="51"/>
    </row>
    <row r="33" spans="1:7" x14ac:dyDescent="0.3">
      <c r="A33" s="7" t="s">
        <v>243</v>
      </c>
      <c r="B33" s="29"/>
    </row>
    <row r="34" spans="1:7" x14ac:dyDescent="0.3">
      <c r="A34" s="7" t="s">
        <v>244</v>
      </c>
      <c r="B34" s="14"/>
    </row>
    <row r="35" spans="1:7" x14ac:dyDescent="0.3">
      <c r="A35" s="7" t="s">
        <v>245</v>
      </c>
      <c r="B35" s="29"/>
    </row>
    <row r="36" spans="1:7" x14ac:dyDescent="0.3">
      <c r="A36" s="7" t="s">
        <v>246</v>
      </c>
      <c r="B36" s="10"/>
    </row>
    <row r="37" spans="1:7" x14ac:dyDescent="0.3">
      <c r="A37" s="43" t="s">
        <v>247</v>
      </c>
      <c r="B37" s="49"/>
    </row>
    <row r="38" spans="1:7" ht="7.5" customHeight="1" x14ac:dyDescent="0.3"/>
    <row r="39" spans="1:7" ht="15" customHeight="1" x14ac:dyDescent="0.3">
      <c r="A39" s="122" t="s">
        <v>248</v>
      </c>
      <c r="B39" s="122"/>
      <c r="C39" s="122"/>
      <c r="D39" s="122"/>
      <c r="E39" s="122"/>
      <c r="F39" s="122"/>
      <c r="G39" s="122"/>
    </row>
    <row r="40" spans="1:7" x14ac:dyDescent="0.3">
      <c r="A40" s="7" t="s">
        <v>249</v>
      </c>
      <c r="B40" s="15"/>
    </row>
    <row r="41" spans="1:7" x14ac:dyDescent="0.3">
      <c r="A41" s="7" t="s">
        <v>250</v>
      </c>
      <c r="B41" s="51"/>
    </row>
    <row r="42" spans="1:7" x14ac:dyDescent="0.3">
      <c r="A42" s="43" t="s">
        <v>251</v>
      </c>
      <c r="B42" s="49"/>
    </row>
    <row r="43" spans="1:7" ht="7.5" customHeight="1" x14ac:dyDescent="0.3"/>
    <row r="44" spans="1:7" ht="15" customHeight="1" x14ac:dyDescent="0.3">
      <c r="A44" s="122" t="s">
        <v>252</v>
      </c>
      <c r="B44" s="122"/>
      <c r="C44" s="122"/>
      <c r="D44" s="122"/>
      <c r="E44" s="122"/>
      <c r="F44" s="122"/>
      <c r="G44" s="122"/>
    </row>
    <row r="45" spans="1:7" x14ac:dyDescent="0.3">
      <c r="A45" s="44" t="s">
        <v>35</v>
      </c>
      <c r="B45" s="13" t="s">
        <v>36</v>
      </c>
      <c r="C45" s="13" t="s">
        <v>253</v>
      </c>
    </row>
    <row r="46" spans="1:7" ht="7.5" customHeight="1" x14ac:dyDescent="0.3">
      <c r="A46" s="7" t="s">
        <v>254</v>
      </c>
      <c r="B46" s="52">
        <f>B26</f>
        <v>0</v>
      </c>
      <c r="C46" s="53" t="e">
        <f>(B26-B27)/B27</f>
        <v>#DIV/0!</v>
      </c>
    </row>
    <row r="47" spans="1:7" ht="15" customHeight="1" x14ac:dyDescent="0.3">
      <c r="A47" s="122" t="s">
        <v>255</v>
      </c>
      <c r="B47" s="122"/>
      <c r="C47" s="122"/>
      <c r="D47" s="122"/>
      <c r="E47" s="122"/>
      <c r="F47" s="122"/>
      <c r="G47" s="122"/>
    </row>
    <row r="48" spans="1:7" x14ac:dyDescent="0.3">
      <c r="A48" s="54" t="s">
        <v>256</v>
      </c>
      <c r="B48" s="55" t="s">
        <v>257</v>
      </c>
      <c r="C48" s="56" t="s">
        <v>258</v>
      </c>
      <c r="D48" s="54" t="s">
        <v>259</v>
      </c>
      <c r="E48" s="54" t="s">
        <v>260</v>
      </c>
      <c r="F48" s="54" t="s">
        <v>261</v>
      </c>
    </row>
    <row r="49" spans="1:6" x14ac:dyDescent="0.3">
      <c r="A49" s="54" t="s">
        <v>262</v>
      </c>
      <c r="B49" s="57" t="e">
        <f>(B13/(1+0.075)^1 + C13/(1+0.075)^2 + D13/(1+0.075)^3 + E13/(1+0.075)^4 + F13/(1+0.075)^5+(F13*(1+0.03)/(0.075-0.03))/(1+0.075)^5-B23)/(B25*1000)</f>
        <v>#DIV/0!</v>
      </c>
      <c r="C49" s="57" t="e">
        <f>(B13/(1+0.075)^1 + C13/(1+0.075)^2 + D13/(1+0.075)^3 + E13/(1+0.075)^4 + F13/(1+0.075)^5+(F13*(1+0.035)/(0.075-0.035))/(1+0.075)^5-B23)/(B25*1000)</f>
        <v>#DIV/0!</v>
      </c>
      <c r="D49" s="58" t="e">
        <f>(B13/(1+0.075)^1 + C13/(1+0.075)^2 + D13/(1+0.075)^3 + E13/(1+0.075)^4 + F13/(1+0.075)^5+(F13*(1+0.04)/(0.075-0.04))/(1+0.075)^5-B23)/(B25*1000)</f>
        <v>#DIV/0!</v>
      </c>
      <c r="E49" s="58" t="e">
        <f>(B13/(1+0.075)^1 + C13/(1+0.075)^2 + D13/(1+0.075)^3 + E13/(1+0.075)^4 + F13/(1+0.075)^5+(F13*(1+0.045)/(0.075-0.045))/(1+0.075)^5-B23)/(B25*1000)</f>
        <v>#DIV/0!</v>
      </c>
      <c r="F49" s="58" t="e">
        <f>(B13/(1+0.075)^1 + C13/(1+0.075)^2 + D13/(1+0.075)^3 + E13/(1+0.075)^4 + F13/(1+0.075)^5+(F13*(1+0.05)/(0.075-0.05))/(1+0.075)^5-B23)/(B25*1000)</f>
        <v>#DIV/0!</v>
      </c>
    </row>
    <row r="50" spans="1:6" x14ac:dyDescent="0.3">
      <c r="A50" s="54" t="s">
        <v>263</v>
      </c>
      <c r="B50" s="57" t="e">
        <f>(B13/(1+0.08)^1 + C13/(1+0.08)^2 + D13/(1+0.08)^3 + E13/(1+0.08)^4 + F13/(1+0.08)^5+(F13*(1+0.03)/(0.08-0.03))/(1+0.08)^5-B23)/(B25*1000)</f>
        <v>#DIV/0!</v>
      </c>
      <c r="C50" s="57" t="e">
        <f>(B13/(1+0.08)^1 + C13/(1+0.08)^2 + D13/(1+0.08)^3 + E13/(1+0.08)^4 + F13/(1+0.08)^5+(F13*(1+0.035)/(0.08-0.035))/(1+0.08)^5-B23)/(B25*1000)</f>
        <v>#DIV/0!</v>
      </c>
      <c r="D50" s="58" t="e">
        <f>(B13/(1+0.08)^1 + C13/(1+0.08)^2 + D13/(1+0.08)^3 + E13/(1+0.08)^4 + F13/(1+0.08)^5+(F13*(1+0.04)/(0.08-0.04))/(1+0.08)^5-B23)/(B25*1000)</f>
        <v>#DIV/0!</v>
      </c>
      <c r="E50" s="58" t="e">
        <f>(B13/(1+0.08)^1 + C13/(1+0.08)^2 + D13/(1+0.08)^3 + E13/(1+0.08)^4 + F13/(1+0.08)^5+(F13*(1+0.045)/(0.08-0.045))/(1+0.08)^5-B23)/(B25*1000)</f>
        <v>#DIV/0!</v>
      </c>
      <c r="F50" s="58" t="e">
        <f>(B13/(1+0.08)^1 + C13/(1+0.08)^2 + D13/(1+0.08)^3 + E13/(1+0.08)^4 + F13/(1+0.08)^5+(F13*(1+0.05)/(0.08-0.05))/(1+0.08)^5-B23)/(B25*1000)</f>
        <v>#DIV/0!</v>
      </c>
    </row>
    <row r="51" spans="1:6" x14ac:dyDescent="0.3">
      <c r="A51" s="54" t="s">
        <v>264</v>
      </c>
      <c r="B51" s="57" t="e">
        <f>(B13/(1+0.085)^1 + C13/(1+0.085)^2 + D13/(1+0.085)^3 + E13/(1+0.085)^4 + F13/(1+0.085)^5+(F13*(1+0.03)/(0.085-0.03))/(1+0.085)^5-B23)/(B25*1000)</f>
        <v>#DIV/0!</v>
      </c>
      <c r="C51" s="57" t="e">
        <f>(B13/(1+0.085)^1 + C13/(1+0.085)^2 + D13/(1+0.085)^3 + E13/(1+0.085)^4 + F13/(1+0.085)^5+(F13*(1+0.035)/(0.085-0.035))/(1+0.085)^5-B23)/(B25*1000)</f>
        <v>#DIV/0!</v>
      </c>
      <c r="D51" s="57" t="e">
        <f>(B13/(1+0.085)^1 + C13/(1+0.085)^2 + D13/(1+0.085)^3 + E13/(1+0.085)^4 + F13/(1+0.085)^5+(F13*(1+0.04)/(0.085-0.04))/(1+0.085)^5-B23)/(B25*1000)</f>
        <v>#DIV/0!</v>
      </c>
      <c r="E51" s="57" t="e">
        <f>(B13/(1+0.085)^1 + C13/(1+0.085)^2 + D13/(1+0.085)^3 + E13/(1+0.085)^4 + F13/(1+0.085)^5+(F13*(1+0.045)/(0.085-0.045))/(1+0.085)^5-B23)/(B25*1000)</f>
        <v>#DIV/0!</v>
      </c>
      <c r="F51" s="57" t="e">
        <f>(B13/(1+0.085)^1 + C13/(1+0.085)^2 + D13/(1+0.085)^3 + E13/(1+0.085)^4 + F13/(1+0.085)^5+(F13*(1+0.05)/(0.085-0.05))/(1+0.085)^5-B23)/(B25*1000)</f>
        <v>#DIV/0!</v>
      </c>
    </row>
    <row r="52" spans="1:6" x14ac:dyDescent="0.3">
      <c r="A52" s="54" t="s">
        <v>265</v>
      </c>
      <c r="B52" s="57" t="e">
        <f>(B13/(1+0.09)^1 + C13/(1+0.09)^2 + D13/(1+0.09)^3 + E13/(1+0.09)^4 + F13/(1+0.09)^5+(F13*(1+0.03)/(0.09-0.03))/(1+0.09)^5-B23)/(B25*1000)</f>
        <v>#DIV/0!</v>
      </c>
      <c r="C52" s="57" t="e">
        <f>(B13/(1+0.09)^1 + C13/(1+0.09)^2 + D13/(1+0.09)^3 + E13/(1+0.09)^4 + F13/(1+0.09)^5+(F13*(1+0.035)/(0.09-0.035))/(1+0.09)^5-B23)/(B25*1000)</f>
        <v>#DIV/0!</v>
      </c>
      <c r="D52" s="59" t="e">
        <f>(B13/(1+0.09)^1 + C13/(1+0.09)^2 + D13/(1+0.09)^3 + E13/(1+0.09)^4 + F13/(1+0.09)^5+(F13*(1+0.04)/(0.09-0.04))/(1+0.09)^5-B23)/(B25*1000)</f>
        <v>#DIV/0!</v>
      </c>
      <c r="E52" s="57" t="e">
        <f>(B13/(1+0.09)^1 + C13/(1+0.09)^2 + D13/(1+0.09)^3 + E13/(1+0.09)^4 + F13/(1+0.09)^5+(F13*(1+0.045)/(0.09-0.045))/(1+0.09)^5-B23)/(B25*1000)</f>
        <v>#DIV/0!</v>
      </c>
      <c r="F52" s="57" t="e">
        <f>(B13/(1+0.09)^1 + C13/(1+0.09)^2 + D13/(1+0.09)^3 + E13/(1+0.09)^4 + F13/(1+0.09)^5+(F13*(1+0.05)/(0.09-0.05))/(1+0.09)^5-B23)/(B25*1000)</f>
        <v>#DIV/0!</v>
      </c>
    </row>
    <row r="53" spans="1:6" x14ac:dyDescent="0.3">
      <c r="A53" s="54" t="s">
        <v>266</v>
      </c>
      <c r="B53" s="57" t="e">
        <f>(B13/(1+0.095)^1 + C13/(1+0.095)^2 + D13/(1+0.095)^3 + E13/(1+0.095)^4 + F13/(1+0.095)^5+(F13*(1+0.03)/(0.095-0.03))/(1+0.095)^5-B23)/(B25*1000)</f>
        <v>#DIV/0!</v>
      </c>
      <c r="C53" s="57" t="e">
        <f>(B13/(1+0.095)^1 + C13/(1+0.095)^2 + D13/(1+0.095)^3 + E13/(1+0.095)^4 + F13/(1+0.095)^5+(F13*(1+0.035)/(0.095-0.035))/(1+0.095)^5-B23)/(B25*1000)</f>
        <v>#DIV/0!</v>
      </c>
      <c r="D53" s="57" t="e">
        <f>(B13/(1+0.095)^1 + C13/(1+0.095)^2 + D13/(1+0.095)^3 + E13/(1+0.095)^4 + F13/(1+0.095)^5+(F13*(1+0.04)/(0.095-0.04))/(1+0.095)^5-B23)/(B25*1000)</f>
        <v>#DIV/0!</v>
      </c>
      <c r="E53" s="57" t="e">
        <f>(B13/(1+0.095)^1 + C13/(1+0.095)^2 + D13/(1+0.095)^3 + E13/(1+0.095)^4 + F13/(1+0.095)^5+(F13*(1+0.045)/(0.095-0.045))/(1+0.095)^5-B23)/(B25*1000)</f>
        <v>#DIV/0!</v>
      </c>
      <c r="F53" s="57" t="e">
        <f>(B13/(1+0.095)^1 + C13/(1+0.095)^2 + D13/(1+0.095)^3 + E13/(1+0.095)^4 + F13/(1+0.095)^5+(F13*(1+0.05)/(0.095-0.05))/(1+0.095)^5-B23)/(B25*1000)</f>
        <v>#DIV/0!</v>
      </c>
    </row>
  </sheetData>
  <mergeCells count="8">
    <mergeCell ref="A39:G39"/>
    <mergeCell ref="A44:G44"/>
    <mergeCell ref="A47:G47"/>
    <mergeCell ref="A1:I1"/>
    <mergeCell ref="A2:I2"/>
    <mergeCell ref="A7:G7"/>
    <mergeCell ref="A18:G18"/>
    <mergeCell ref="A30:G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Master sheet</vt:lpstr>
      <vt:lpstr>Assumptions</vt:lpstr>
      <vt:lpstr>Income Statement</vt:lpstr>
      <vt:lpstr>Balance Sheet</vt:lpstr>
      <vt:lpstr>Cash Flow</vt:lpstr>
      <vt:lpstr>DCF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Riddesh Nikam</cp:lastModifiedBy>
  <cp:revision>0</cp:revision>
  <dcterms:created xsi:type="dcterms:W3CDTF">2026-03-16T19:55:18Z</dcterms:created>
  <dcterms:modified xsi:type="dcterms:W3CDTF">2026-03-17T20:39:42Z</dcterms:modified>
  <dc:language>en-US</dc:language>
</cp:coreProperties>
</file>